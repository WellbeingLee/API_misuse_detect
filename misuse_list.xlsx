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DBCC7A8C-325C-408B-8157-1A8B9E43ACEA}" xr6:coauthVersionLast="36" xr6:coauthVersionMax="36" xr10:uidLastSave="{00000000-0000-0000-0000-000000000000}"/>
  <bookViews>
    <workbookView xWindow="0" yWindow="2400" windowWidth="22260" windowHeight="12645" xr2:uid="{00000000-000D-0000-FFFF-FFFF00000000}"/>
  </bookViews>
  <sheets>
    <sheet name="misuse_list" sheetId="1" r:id="rId1"/>
    <sheet name="manual analysis" sheetId="3" r:id="rId2"/>
    <sheet name="count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18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7" i="3"/>
  <c r="F26" i="3"/>
  <c r="F25" i="3"/>
  <c r="F24" i="3"/>
  <c r="F23" i="3"/>
  <c r="F22" i="3"/>
  <c r="F21" i="3"/>
  <c r="F20" i="3"/>
  <c r="F19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<sst xmlns="http://schemas.openxmlformats.org/spreadsheetml/2006/main" count="507" uniqueCount="285">
  <si>
    <t>https://sourceforge.net/p/jmrtd/
code/51/tree//passporthostapi/
src/sos/mrtd/SecureMessagingWrapper.
java?diff=5058d727fd48f84fd52d6740:50</t>
    <phoneticPr fontId="1" type="noConversion"/>
  </si>
  <si>
    <t>代码来源</t>
    <phoneticPr fontId="1" type="noConversion"/>
  </si>
  <si>
    <t>API误用</t>
    <phoneticPr fontId="1" type="noConversion"/>
  </si>
  <si>
    <t>readDO8E(DataInputStream,byte[])</t>
    <phoneticPr fontId="1" type="noConversion"/>
  </si>
  <si>
    <t>http://sourceforge.net/p/
battleforge/code/878/tree/trunk/
de.battleforge/src/java/de/
battleforge/util/BFProperties.
java?diff=50ee84dee88f3d2
4b3d975fe:877</t>
    <phoneticPr fontId="1" type="noConversion"/>
  </si>
  <si>
    <t>http://sourceforge.net/p/
adempiere/svn/1312/tree/
trunk/looks/src/org/compiere/
util/Secure.java?diff=5139a2
ef34309d2ec1827857:1311</t>
    <phoneticPr fontId="1" type="noConversion"/>
  </si>
  <si>
    <t>https://github.com/androidrcs/
rcsjta/commit/04d8479
9daa51ed7cc0ad270f0eea
51ffaf7a53a#diff-bf160ca
00204f2ae4c100aabe57a1dfd</t>
    <phoneticPr fontId="1" type="noConversion"/>
  </si>
  <si>
    <t>https://github.com/alibaba/druid/
commit/e10f2849d046265bf17
360ab4aa9eb60fd3ab8de</t>
    <phoneticPr fontId="1" type="noConversion"/>
  </si>
  <si>
    <t>getProperty(BFProps)</t>
    <phoneticPr fontId="1" type="noConversion"/>
  </si>
  <si>
    <t>javax.crypto.Cipher.doFinal(byte[])</t>
    <phoneticPr fontId="1" type="noConversion"/>
  </si>
  <si>
    <t>java.lang.String.getBytes()</t>
    <phoneticPr fontId="1" type="noConversion"/>
  </si>
  <si>
    <t>java.lang.String.new(byte[])</t>
    <phoneticPr fontId="1" type="noConversion"/>
  </si>
  <si>
    <t>javax.crypto.Mac.doFinal(byte[])</t>
    <phoneticPr fontId="1" type="noConversion"/>
  </si>
  <si>
    <t>javax.crypto.Cipher.init(int,java.security.PrivateKey)</t>
    <phoneticPr fontId="1" type="noConversion"/>
  </si>
  <si>
    <t>javax.crypto.Cipher.init(int,java.security.Key)</t>
    <phoneticPr fontId="1" type="noConversion"/>
  </si>
  <si>
    <t>http://stackoverflow.com/questions/6210258</t>
    <phoneticPr fontId="1" type="noConversion"/>
  </si>
  <si>
    <t>java.lang.String.charAt</t>
    <phoneticPr fontId="1" type="noConversion"/>
  </si>
  <si>
    <t>http://stackoverflow.com/questions/14654133</t>
    <phoneticPr fontId="1" type="noConversion"/>
  </si>
  <si>
    <t>java.net.Socket.getOutputStream</t>
    <phoneticPr fontId="1" type="noConversion"/>
  </si>
  <si>
    <t>http://stackoverflow.com/questions/36391399</t>
    <phoneticPr fontId="1" type="noConversion"/>
  </si>
  <si>
    <t>java.util.Scanner.nextLine</t>
    <phoneticPr fontId="1" type="noConversion"/>
  </si>
  <si>
    <t>http://stackoverflow.com/questions/29530026</t>
    <phoneticPr fontId="1" type="noConversion"/>
  </si>
  <si>
    <t>java.sql.ResultSet.getString</t>
    <phoneticPr fontId="1" type="noConversion"/>
  </si>
  <si>
    <t>http://stackoverflow.com/questions/35488770</t>
    <phoneticPr fontId="1" type="noConversion"/>
  </si>
  <si>
    <t>java.util.Random.nextInt</t>
    <phoneticPr fontId="1" type="noConversion"/>
  </si>
  <si>
    <t>http://stackoverflow.com/questions/37541746</t>
    <phoneticPr fontId="1" type="noConversion"/>
  </si>
  <si>
    <t>android.app.ProgressDialog.dismiss</t>
    <phoneticPr fontId="1" type="noConversion"/>
  </si>
  <si>
    <t>http://stackoverflow.com/questions/37577463</t>
    <phoneticPr fontId="1" type="noConversion"/>
  </si>
  <si>
    <t>java.security.KeyStore.load</t>
    <phoneticPr fontId="1" type="noConversion"/>
  </si>
  <si>
    <t>http://stackoverflow.com/questions/21656728</t>
    <phoneticPr fontId="1" type="noConversion"/>
  </si>
  <si>
    <t>org.jsoup.Jsoup.connect</t>
    <phoneticPr fontId="1" type="noConversion"/>
  </si>
  <si>
    <t>http://stackoverflow.com/questions/23476519</t>
    <phoneticPr fontId="1" type="noConversion"/>
  </si>
  <si>
    <t>org.json.JSONObject.getString</t>
    <phoneticPr fontId="1" type="noConversion"/>
  </si>
  <si>
    <t>http://stackoverflow.com/questions/27960657</t>
    <phoneticPr fontId="1" type="noConversion"/>
  </si>
  <si>
    <t>android.content.Intent.getStringExtra</t>
    <phoneticPr fontId="1" type="noConversion"/>
  </si>
  <si>
    <t>javax.servlet.http.HttpServletRequest.getParameter</t>
    <phoneticPr fontId="1" type="noConversion"/>
  </si>
  <si>
    <t>https://stackoverflow.com/questions/18316242/cannot-process-url-with-vertical-pipe-bar-in-java-apache-httpclient/18316928#18316928</t>
    <phoneticPr fontId="1" type="noConversion"/>
  </si>
  <si>
    <t>org.apache.http.HttpResponse.getEntity</t>
    <phoneticPr fontId="1" type="noConversion"/>
  </si>
  <si>
    <t>http://stackoverflow.com/questions/23007311</t>
    <phoneticPr fontId="1" type="noConversion"/>
  </si>
  <si>
    <t>org.apache.http.client.HttpClient.execute</t>
    <phoneticPr fontId="1" type="noConversion"/>
  </si>
  <si>
    <t>http://stackoverflow.com/questions/21310279</t>
    <phoneticPr fontId="1" type="noConversion"/>
  </si>
  <si>
    <t>java.lang.Double.parseDouble</t>
    <phoneticPr fontId="1" type="noConversion"/>
  </si>
  <si>
    <t>http://stackoverflow.com/questions/116625</t>
    <phoneticPr fontId="1" type="noConversion"/>
  </si>
  <si>
    <t>java.lang.Class&lt;T&gt;.ForName</t>
    <phoneticPr fontId="1" type="noConversion"/>
  </si>
  <si>
    <t>http://stackoverflow.com/questions/37431352</t>
    <phoneticPr fontId="1" type="noConversion"/>
  </si>
  <si>
    <t>android.os.Bundle.getString</t>
    <phoneticPr fontId="1" type="noConversion"/>
  </si>
  <si>
    <t>http://stackoverflow.com/questions/7916736</t>
    <phoneticPr fontId="1" type="noConversion"/>
  </si>
  <si>
    <t>java.io.FileInputStream.new</t>
    <phoneticPr fontId="1" type="noConversion"/>
  </si>
  <si>
    <t>http://stackoverflow.com/questions/33775696</t>
    <phoneticPr fontId="1" type="noConversion"/>
  </si>
  <si>
    <t>java.lang.String.split</t>
    <phoneticPr fontId="1" type="noConversion"/>
  </si>
  <si>
    <t>http://stackoverflow.com/questions/30105609</t>
    <phoneticPr fontId="1" type="noConversion"/>
  </si>
  <si>
    <t>java.text.SimpleDateFormat.new</t>
    <phoneticPr fontId="1" type="noConversion"/>
  </si>
  <si>
    <r>
      <t>http://stackover</t>
    </r>
    <r>
      <rPr>
        <u/>
        <sz val="11"/>
        <color theme="10"/>
        <rFont val="等线"/>
        <family val="3"/>
        <charset val="134"/>
        <scheme val="minor"/>
      </rPr>
      <t>ﬂow.com/questions/21983867</t>
    </r>
    <phoneticPr fontId="1" type="noConversion"/>
  </si>
  <si>
    <t>java.util.TreeMap.firstKey</t>
    <phoneticPr fontId="1" type="noConversion"/>
  </si>
  <si>
    <t>https://stackoverflow.com/questions/12742594/extract-src-image-field-from-a-simple-html-string-without-a-parser/12742734#12742734</t>
    <phoneticPr fontId="1" type="noConversion"/>
  </si>
  <si>
    <t>java.lang.String.substring</t>
    <phoneticPr fontId="1" type="noConversion"/>
  </si>
  <si>
    <r>
      <t>https://stackover</t>
    </r>
    <r>
      <rPr>
        <u/>
        <sz val="11"/>
        <color theme="10"/>
        <rFont val="等线"/>
        <family val="3"/>
        <charset val="134"/>
        <scheme val="minor"/>
      </rPr>
      <t>ﬂow.com/questions/31531250</t>
    </r>
    <phoneticPr fontId="1" type="noConversion"/>
  </si>
  <si>
    <t>android.database.sqlite.SQLiteDatabase</t>
    <phoneticPr fontId="1" type="noConversion"/>
  </si>
  <si>
    <r>
      <t>http://stackover</t>
    </r>
    <r>
      <rPr>
        <u/>
        <sz val="11"/>
        <color theme="10"/>
        <rFont val="等线"/>
        <family val="3"/>
        <charset val="134"/>
        <scheme val="minor"/>
      </rPr>
      <t>ﬂow.com/questions/10506546</t>
    </r>
    <phoneticPr fontId="1" type="noConversion"/>
  </si>
  <si>
    <t>java.nio.channels.FileChannel.write</t>
    <phoneticPr fontId="1" type="noConversion"/>
  </si>
  <si>
    <t>http://svn.apache.org/viewvc/jackrabbit/trunk/jackrabbit-core/src/main/java/org/apache/jackrabbit/core/ItemManager.java?r1=656282&amp;r2=656281&amp;pathrev=656282&amp;diff_format=h</t>
    <phoneticPr fontId="1" type="noConversion"/>
  </si>
  <si>
    <t>android.content.Context.registerReceiver</t>
    <phoneticPr fontId="1" type="noConversion"/>
  </si>
  <si>
    <t>https://github.com/haku/Onosendai/commit/0e2a7570ab4491d0c4680ef52ee1008bef33fc02</t>
    <phoneticPr fontId="1" type="noConversion"/>
  </si>
  <si>
    <t>http://svn.apache.org/viewvc/lucene/dev/trunk/lucene/contrib/benchmark/src/java/org/apache/lucene/benchmark/byTask/tasks/DeleteByPercentTask.java?r1=957486&amp;r2=957485&amp;pathrev=957486&amp;diff_format=h</t>
    <phoneticPr fontId="1" type="noConversion"/>
  </si>
  <si>
    <t>org.apache.lucene.index.MultiFields.getDeletedDocs</t>
    <phoneticPr fontId="1" type="noConversion"/>
  </si>
  <si>
    <t>http://svn.apache.org/viewvc/lucene/java/trunk/src/java/org/apache/lucene/store/FSDirectory.java?r1=150347&amp;r2=150346&amp;pathrev=150347&amp;diff_format=h</t>
    <phoneticPr fontId="1" type="noConversion"/>
  </si>
  <si>
    <t>java.io.File.createNewFile</t>
    <phoneticPr fontId="1" type="noConversion"/>
  </si>
  <si>
    <t>http://svn.apache.org/viewvc/lucene/java/trunk/src/java/org/apache/lucene/store/FSDirectory.java?r1=642339&amp;r2=642338&amp;pathrev=642339&amp;diff_format=h</t>
    <phoneticPr fontId="1" type="noConversion"/>
  </si>
  <si>
    <t>java.io.RandomAccessFile</t>
    <phoneticPr fontId="1" type="noConversion"/>
  </si>
  <si>
    <t>https://sourceforge.net/p/jfreechart/code/811/tree/trunk/source/org/jfree/chart/plot/CategoryPlot.java?diff=50b53b485fcbc92b6542a639:810</t>
    <phoneticPr fontId="1" type="noConversion"/>
  </si>
  <si>
    <t>java.util.Map.get</t>
    <phoneticPr fontId="1" type="noConversion"/>
  </si>
  <si>
    <t>https://sourceforge.net/p/jfreechart/code/2266/tree/trunk/source/org/jfree/chart/renderer/category/AbstractCategoryItemRenderer.java?diff=50b53b485fcbc92b6542a639:2265</t>
    <phoneticPr fontId="1" type="noConversion"/>
  </si>
  <si>
    <t>org.jfree.chart.plot.XYPlot.getRendererForDataset</t>
    <phoneticPr fontId="1" type="noConversion"/>
  </si>
  <si>
    <t>https://sourceforge.net/p/jfreechart/code/2183/tree/trunk/source/org/jfree/chart/plot/XYPlot.java?diff=50b53b485fcbc92b6542a639:2182</t>
    <phoneticPr fontId="1" type="noConversion"/>
  </si>
  <si>
    <t>https://sourceforge.net/p/jfreechart/code/164/tree/trunk/source/org/jfree/chart/renderer/category/StatisticalBarRenderer.java?diff=50b53b485fcbc92b6542a639:163</t>
    <phoneticPr fontId="1" type="noConversion"/>
  </si>
  <si>
    <t>org.jfree.data.statistics.StatisticalCategoryDataset.getStdDevValue</t>
    <phoneticPr fontId="1" type="noConversion"/>
  </si>
  <si>
    <t>org.jfree.data.statistics.StatisticalCategoryDataset.getMeanValue</t>
    <phoneticPr fontId="1" type="noConversion"/>
  </si>
  <si>
    <t>https://sourceforge.net/p/jfreechart/code/103/tree/trunk/source/org/jfree/chart/axis/Axis.java?diff=50b53b485fcbc92b6542a639:102</t>
    <phoneticPr fontId="1" type="noConversion"/>
  </si>
  <si>
    <t>org.jfree.chart.plot.PlotRenderingInfo.getOwner</t>
    <phoneticPr fontId="1" type="noConversion"/>
  </si>
  <si>
    <t>http://svn.apache.org/viewvc/incubator/jackrabbit/trunk/src/java/org/apache/jackrabbit/core/state/obj/ObjectPersistenceManager.java?r1=55854&amp;r2=55853&amp;pathrev=55854&amp;diff_format=h</t>
    <phoneticPr fontId="1" type="noConversion"/>
  </si>
  <si>
    <t>org.apache.jackrabbit.core.fs.FileSystemResource.delete</t>
    <phoneticPr fontId="1" type="noConversion"/>
  </si>
  <si>
    <t>http://svn.apache.org/viewvc/jackrabbit/trunk/jackrabbit-jca/src/main/java/org/apache/jackrabbit/jca/JCARepositoryManager.java?r1=1232831&amp;r2=1232830&amp;pathrev=1232831&amp;diff_format=h</t>
    <phoneticPr fontId="1" type="noConversion"/>
  </si>
  <si>
    <t>java.util.Map&lt;java.lang.String, java.lang.String&gt;.get</t>
    <phoneticPr fontId="1" type="noConversion"/>
  </si>
  <si>
    <t>http://svn.apache.org/viewvc/jackrabbit/trunk/jackrabbit-jcr2spi/src/main/java/org/apache/jackrabbit/jcr2spi/state/ItemState.java?r1=1240198&amp;r2=1240197&amp;pathrev=1240198&amp;diff_format=h</t>
    <phoneticPr fontId="1" type="noConversion"/>
  </si>
  <si>
    <t>org.apache.jackrabbit.jcr2spi.hierarchy.HierarchyEntry.getParent</t>
    <phoneticPr fontId="1" type="noConversion"/>
  </si>
  <si>
    <t>http://svn.apache.org/viewvc/jackrabbit/trunk/jackrabbit-core/src/main/java/org/apache/jackrabbit/core/query/lucene/IndexingConfigurationImpl.java?r1=926354&amp;r2=926353&amp;pathrev=926354&amp;diff_format=h</t>
    <phoneticPr fontId="1" type="noConversion"/>
  </si>
  <si>
    <t>org.apache.jackrabbit.core.state.NodeState.getParentId</t>
    <phoneticPr fontId="1" type="noConversion"/>
  </si>
  <si>
    <t>http://svn.apache.org/viewvc/jackrabbit/trunk/jackrabbit-jcr-server/src/main/java/org/apache/jackrabbit/server/io/DefaultHandler.java?r1=880743&amp;r2=880742&amp;pathrev=880743&amp;diff_format=h</t>
    <phoneticPr fontId="1" type="noConversion"/>
  </si>
  <si>
    <t>org.apache.jackrabbit.server.io.IOManager.getDetector</t>
    <phoneticPr fontId="1" type="noConversion"/>
  </si>
  <si>
    <t>http://svn.apache.org/viewvc/jackrabbit/trunk/jackrabbit-jcr-server/src/main/java/org/apache/jackrabbit/webdav/jcr/JcrDavException.java?r1=677893&amp;r2=677892&amp;pathrev=677893&amp;diff_format=h</t>
    <phoneticPr fontId="1" type="noConversion"/>
  </si>
  <si>
    <t>java.util.HashMap.get</t>
    <phoneticPr fontId="1" type="noConversion"/>
  </si>
  <si>
    <t>https://github.com/google/closure-compiler/commit/43c245f0ff8d409e81e25687e69d34666b7cf26a</t>
    <phoneticPr fontId="1" type="noConversion"/>
  </si>
  <si>
    <t>org.kohsuke.args4j.spi.Parameters.getParameter</t>
    <phoneticPr fontId="1" type="noConversion"/>
  </si>
  <si>
    <t>https://github.com/google/closure-compiler/commit/67289ae4cbaba3ae70cd2e8fb92f3f2898039dfb</t>
    <phoneticPr fontId="1" type="noConversion"/>
  </si>
  <si>
    <t>com.google.javascript.rhino.jstype.UnionType.Builder.build()</t>
    <phoneticPr fontId="1" type="noConversion"/>
  </si>
  <si>
    <t>http://svn.apache.org/viewvc/jakarta/commons/proper/httpclient/trunk/src/java/org/apache/commons/httpclient/HttpMethodDirector.java?r1=160490&amp;r2=160489&amp;pathrev=160490&amp;diff_format=h</t>
    <phoneticPr fontId="1" type="noConversion"/>
  </si>
  <si>
    <t>org.apache.commons.httpclient.auth.AuthState.isPreemptive</t>
    <phoneticPr fontId="1" type="noConversion"/>
  </si>
  <si>
    <t>https://github.com/fefe982/gnucash-android/commit/ce50ee116f18a373f30cb135ee48b5ad6c187db0</t>
    <phoneticPr fontId="1" type="noConversion"/>
  </si>
  <si>
    <t>android.content.Intent.getLongExtra</t>
    <phoneticPr fontId="1" type="noConversion"/>
  </si>
  <si>
    <t>http://svn.apache.org/viewvc/commons/proper/math/trunk/src/main/java/org/apache/commons/math3/geometry/euclidean/twod/SubLine.java?r1=1488866&amp;r2=1488865&amp;pathrev=1488866&amp;diff_format=h</t>
    <phoneticPr fontId="1" type="noConversion"/>
  </si>
  <si>
    <t>org.apache.commons.math3.geometry.euclidean.twod.Line.intersection()</t>
    <phoneticPr fontId="1" type="noConversion"/>
  </si>
  <si>
    <t>http://svn.apache.org/viewvc/commons/proper/math/trunk/src/main/java/org/apache/commons/math3/geometry/euclidean/threed/SubLine.java?r1=1488866&amp;r2=1488865&amp;pathrev=1488866&amp;diff_format=h</t>
    <phoneticPr fontId="1" type="noConversion"/>
  </si>
  <si>
    <t>org.apache.commons.math3.geometry.euclidean.threed.Line.intersection()</t>
    <phoneticPr fontId="1" type="noConversion"/>
  </si>
  <si>
    <t>http://svn.apache.org/viewvc/commons/proper/lang/trunk/src/java/org/apache/commons/lang/text/StrBuilder.java?r1=627248&amp;r2=627247&amp;pathrev=627248&amp;diff_format=h</t>
    <phoneticPr fontId="1" type="noConversion"/>
  </si>
  <si>
    <t>StrBuilder.getNullText()</t>
    <phoneticPr fontId="1" type="noConversion"/>
  </si>
  <si>
    <t>https://github.com/Tyde/TuCanMobile/commit/02e046e5cc53ad218264dc28a4b96941f2902e38</t>
    <phoneticPr fontId="1" type="noConversion"/>
  </si>
  <si>
    <t>android.app.Dialog.dismiss()</t>
    <phoneticPr fontId="1" type="noConversion"/>
  </si>
  <si>
    <t>https://github.com/emopers/visualee/commit/cb7b08d182b463e78f85f7851cce64d6cf0e36b5</t>
    <phoneticPr fontId="1" type="noConversion"/>
  </si>
  <si>
    <t>java.util.Scanner.next</t>
    <phoneticPr fontId="1" type="noConversion"/>
  </si>
  <si>
    <t>https://stackoverflow.com/questions/10166011/how-to-use-java-nio-channels-filechannel-to-write-a-byte-to-a-file-basics/10166055</t>
    <phoneticPr fontId="1" type="noConversion"/>
  </si>
  <si>
    <t>https://github.com/lkorth/screen-notifications/commit/afc542066ae1a3c57974dc180374407a7954124d</t>
    <phoneticPr fontId="1" type="noConversion"/>
  </si>
  <si>
    <t>android.content.pm.ApplicationInfo.loadIcon</t>
    <phoneticPr fontId="1" type="noConversion"/>
  </si>
  <si>
    <t>http://svn.apache.org/viewvc/lucene/java/trunk/src/java/org/apache/lucene/index/ParallelReader.java?r1=816602&amp;r2=816601&amp;pathrev=816602&amp;diff_format=h</t>
    <phoneticPr fontId="1" type="noConversion"/>
  </si>
  <si>
    <t>java.util.SortedMap.firstKey</t>
    <phoneticPr fontId="1" type="noConversion"/>
  </si>
  <si>
    <t>https://github.com/emopers/joda-time/commit/0e82517a7f4a2e659143ce84ff1f4ea706e9a88c</t>
    <phoneticPr fontId="1" type="noConversion"/>
  </si>
  <si>
    <t>java.io.ObjectOutputStream.new</t>
    <phoneticPr fontId="1" type="noConversion"/>
  </si>
  <si>
    <t>https://sourceforge.net/p/jmrtd/code/51/tree//passporthostapi/src/sos/mrtd/SecureMessagingWrapper.java?diff=5058d727fd48f84fd52d6740:50</t>
    <phoneticPr fontId="1" type="noConversion"/>
  </si>
  <si>
    <t>java.io.DataOutputStream.new</t>
    <phoneticPr fontId="1" type="noConversion"/>
  </si>
  <si>
    <t>http://svn.apache.org/viewvc/incubator/jackrabbit/trunk/contrib/bdb-persistence/src/java/org/apache/jackrabbit/core/state/bdb/BerkeleyDBPersistenceManager.java?r1=263892&amp;r2=263891&amp;pathrev=263892&amp;diff_format=h</t>
    <phoneticPr fontId="1" type="noConversion"/>
  </si>
  <si>
    <t>File.mkdir()</t>
    <phoneticPr fontId="1" type="noConversion"/>
  </si>
  <si>
    <t>http://svn.apache.org/viewvc/incubator/jackrabbit/trunk/src/java/org/apache/jackrabbit/core/state/xml/XMLPersistenceManager.java?r1=55854&amp;r2=55853&amp;pathrev=55854&amp;diff_format=h</t>
    <phoneticPr fontId="1" type="noConversion"/>
  </si>
  <si>
    <t>org.apache.jackrabbit.jcr2spi.NamespaceStorage.unregisterNamespace</t>
    <phoneticPr fontId="1" type="noConversion"/>
  </si>
  <si>
    <t>http://svn.apache.org/viewvc/jackrabbit/trunk/jackrabbit-jcr2spi/src/main/java/org/apache/jackrabbit/jcr2spi/NamespaceRegistryImpl.java?r1=1133332&amp;r2=1133331&amp;pathrev=1133332&amp;diff_format=h</t>
    <phoneticPr fontId="1" type="noConversion"/>
  </si>
  <si>
    <t>http://svn.apache.org/viewvc/jackrabbit/trunk/jackrabbit-core/src/main/java/org/apache/jackrabbit/core/persistence/xml/XMLPersistenceManager.java?r1=965539&amp;r2=965538&amp;pathrev=965539&amp;diff_format=h</t>
    <phoneticPr fontId="1" type="noConversion"/>
  </si>
  <si>
    <t>org.apache.jackrabbit.core.util.DOMWalker.getAttribute</t>
    <phoneticPr fontId="1" type="noConversion"/>
  </si>
  <si>
    <t>http://svn.apache.org/viewvc/jackrabbit/trunk/jackrabbit-spi-commons/src/main/java/org/apache/jackrabbit/spi/commons/value/QValueFactoryImpl.java?r1=698246&amp;r2=698245&amp;pathrev=698246&amp;diff_format=h</t>
    <phoneticPr fontId="1" type="noConversion"/>
  </si>
  <si>
    <t>java.io.InputStream.read</t>
    <phoneticPr fontId="1" type="noConversion"/>
  </si>
  <si>
    <t>http://svn.apache.org/viewvc/jackrabbit/trunk/jackrabbit-core/src/main/java/org/apache/jackrabbit/core/config/RepositoryConfigurationParser.java?r1=695766&amp;r2=695765&amp;pathrev=695766&amp;diff_format=h</t>
    <phoneticPr fontId="1" type="noConversion"/>
  </si>
  <si>
    <t>org.apache.jackrabbit.core.config.ConfigurationParser.getAttribute</t>
    <phoneticPr fontId="1" type="noConversion"/>
  </si>
  <si>
    <t>https://github.com/emopers/Confucius/commit/2fefd5eb6d77ab1b83efe3bf50171aabc7128460</t>
    <phoneticPr fontId="1" type="noConversion"/>
  </si>
  <si>
    <t>java.lang.Byte.parseByte</t>
    <phoneticPr fontId="1" type="noConversion"/>
  </si>
  <si>
    <t>https://issues.apache.org/jira/secure/attachment/12327222/ASF.LICENSE.NOT.GRANTED--dateutil.patch</t>
    <phoneticPr fontId="1" type="noConversion"/>
  </si>
  <si>
    <t>java.text.SimpleDateFormat.format</t>
    <phoneticPr fontId="1" type="noConversion"/>
  </si>
  <si>
    <t>https://github.com/emopers/asterisk-java/commit/41461b41309bf9f027a46f178cb777a1a94b8c3f</t>
    <phoneticPr fontId="1" type="noConversion"/>
  </si>
  <si>
    <t>java.lang.Long.parseLong</t>
    <phoneticPr fontId="1" type="noConversion"/>
  </si>
  <si>
    <t>https://github.com/apache/gora/commit/4f98503c014c359b6ab018f43920d454b0344160</t>
    <phoneticPr fontId="1" type="noConversion"/>
  </si>
  <si>
    <t>java.io.ByteArrayOutputStream.toByteArray()</t>
    <phoneticPr fontId="1" type="noConversion"/>
  </si>
  <si>
    <t>Detector</t>
    <phoneticPr fontId="1" type="noConversion"/>
  </si>
  <si>
    <t>Confirmed misuse</t>
    <phoneticPr fontId="1" type="noConversion"/>
  </si>
  <si>
    <t>Precison</t>
    <phoneticPr fontId="1" type="noConversion"/>
  </si>
  <si>
    <t>Hits</t>
    <phoneticPr fontId="1" type="noConversion"/>
  </si>
  <si>
    <t>Recall</t>
    <phoneticPr fontId="1" type="noConversion"/>
  </si>
  <si>
    <t>F1</t>
    <phoneticPr fontId="1" type="noConversion"/>
  </si>
  <si>
    <t>Detection Results</t>
    <phoneticPr fontId="1" type="noConversion"/>
  </si>
  <si>
    <t>DMMC</t>
    <phoneticPr fontId="1" type="noConversion"/>
  </si>
  <si>
    <t>DeepLSTM</t>
    <phoneticPr fontId="1" type="noConversion"/>
  </si>
  <si>
    <t>AUDT</t>
    <phoneticPr fontId="1" type="noConversion"/>
  </si>
  <si>
    <t>R2 classification</t>
  </si>
  <si>
    <t>Not Sure</t>
  </si>
  <si>
    <t>Different Usage</t>
  </si>
  <si>
    <t>Alternative correct usage</t>
  </si>
  <si>
    <t>Correct Misuse</t>
  </si>
  <si>
    <t>PotentialMisuse_2390</t>
  </si>
  <si>
    <t>PotentialMisuse_6351</t>
  </si>
  <si>
    <t>PotentialMisuse_6427</t>
  </si>
  <si>
    <t>PotentialMisuse_6544</t>
  </si>
  <si>
    <t>PotentialMisuse_6624</t>
  </si>
  <si>
    <t>PotentialMisuse_6638</t>
  </si>
  <si>
    <t>PotentialMisuse_6957</t>
  </si>
  <si>
    <t>PotentialMisuse_7056</t>
  </si>
  <si>
    <t>PotentialMisuse_7637</t>
  </si>
  <si>
    <t>PotentialMisuse_7905</t>
  </si>
  <si>
    <t>PotentialMisuse_7956</t>
  </si>
  <si>
    <t>PotentialMisuse_7962</t>
  </si>
  <si>
    <t>PotentialMisuse_83976</t>
  </si>
  <si>
    <t>PotentialMisuse_number</t>
    <phoneticPr fontId="1" type="noConversion"/>
  </si>
  <si>
    <t>Reviewer_1</t>
    <phoneticPr fontId="1" type="noConversion"/>
  </si>
  <si>
    <t>CONSENSUS warning</t>
    <phoneticPr fontId="1" type="noConversion"/>
  </si>
  <si>
    <t>Agreement</t>
    <phoneticPr fontId="1" type="noConversion"/>
  </si>
  <si>
    <t>PotentialMisuse_874</t>
    <phoneticPr fontId="1" type="noConversion"/>
  </si>
  <si>
    <t>PotentialMisuse_273</t>
    <phoneticPr fontId="1" type="noConversion"/>
  </si>
  <si>
    <t>PotentialMisuse_19315</t>
    <phoneticPr fontId="1" type="noConversion"/>
  </si>
  <si>
    <t>PotentialMisuse_19292</t>
    <phoneticPr fontId="1" type="noConversion"/>
  </si>
  <si>
    <t>PotentialMisuse_17946</t>
    <phoneticPr fontId="1" type="noConversion"/>
  </si>
  <si>
    <t>PotentialMisuse_19514</t>
    <phoneticPr fontId="1" type="noConversion"/>
  </si>
  <si>
    <t>PotentialMisuse_19306</t>
    <phoneticPr fontId="1" type="noConversion"/>
  </si>
  <si>
    <t>PotentialMisuse_19267</t>
    <phoneticPr fontId="1" type="noConversion"/>
  </si>
  <si>
    <t>PotentialMisuse_12231</t>
    <phoneticPr fontId="1" type="noConversion"/>
  </si>
  <si>
    <t>PotentialMisuse_12223</t>
    <phoneticPr fontId="1" type="noConversion"/>
  </si>
  <si>
    <t>PotentialMisuse_11764</t>
    <phoneticPr fontId="1" type="noConversion"/>
  </si>
  <si>
    <t>PotentialMisuse_11751</t>
    <phoneticPr fontId="1" type="noConversion"/>
  </si>
  <si>
    <t>PotentialMisuse_11500</t>
    <phoneticPr fontId="1" type="noConversion"/>
  </si>
  <si>
    <t>PotentialMisuse_11549</t>
    <phoneticPr fontId="1" type="noConversion"/>
  </si>
  <si>
    <t>PotentialMisuse_11469</t>
    <phoneticPr fontId="1" type="noConversion"/>
  </si>
  <si>
    <t>PotentialMisuse_11866</t>
    <phoneticPr fontId="1" type="noConversion"/>
  </si>
  <si>
    <t>PotentialMisuse_11299</t>
    <phoneticPr fontId="1" type="noConversion"/>
  </si>
  <si>
    <t>PotentialMisuse_11280</t>
    <phoneticPr fontId="1" type="noConversion"/>
  </si>
  <si>
    <t>PotentialMisuse_10791</t>
    <phoneticPr fontId="1" type="noConversion"/>
  </si>
  <si>
    <t>PotentialMisuse_10780</t>
    <phoneticPr fontId="1" type="noConversion"/>
  </si>
  <si>
    <t>PotentialMisuse_9839</t>
    <phoneticPr fontId="1" type="noConversion"/>
  </si>
  <si>
    <t>PotentialMisuse_9827</t>
    <phoneticPr fontId="1" type="noConversion"/>
  </si>
  <si>
    <t>PotentialMisuse_9220</t>
    <phoneticPr fontId="1" type="noConversion"/>
  </si>
  <si>
    <t>PotentialMisuse_9189</t>
    <phoneticPr fontId="1" type="noConversion"/>
  </si>
  <si>
    <t>PotentialMisuse_9139</t>
    <phoneticPr fontId="1" type="noConversion"/>
  </si>
  <si>
    <t>PotentialMisuse_8754</t>
    <phoneticPr fontId="1" type="noConversion"/>
  </si>
  <si>
    <t>PotentialMisuse_8732</t>
    <phoneticPr fontId="1" type="noConversion"/>
  </si>
  <si>
    <t>PotentialMisuse_8710</t>
    <phoneticPr fontId="1" type="noConversion"/>
  </si>
  <si>
    <t>PotentialMisuse_8665</t>
    <phoneticPr fontId="1" type="noConversion"/>
  </si>
  <si>
    <t>PotentialMisuse_8654</t>
    <phoneticPr fontId="1" type="noConversion"/>
  </si>
  <si>
    <t>PotentialMisuse_22</t>
    <phoneticPr fontId="1" type="noConversion"/>
  </si>
  <si>
    <t>PotentialMisuse_235</t>
    <phoneticPr fontId="1" type="noConversion"/>
  </si>
  <si>
    <t>PotentialMisuse_2388</t>
    <phoneticPr fontId="1" type="noConversion"/>
  </si>
  <si>
    <t>PotentialMisuse_2415</t>
    <phoneticPr fontId="1" type="noConversion"/>
  </si>
  <si>
    <t>PotentialMisuse_2413</t>
    <phoneticPr fontId="1" type="noConversion"/>
  </si>
  <si>
    <t>PotentialMisuse_2598</t>
    <phoneticPr fontId="1" type="noConversion"/>
  </si>
  <si>
    <t>PotentialMisuse_2615</t>
    <phoneticPr fontId="1" type="noConversion"/>
  </si>
  <si>
    <t>PotentialMisuse_2619</t>
    <phoneticPr fontId="1" type="noConversion"/>
  </si>
  <si>
    <t>PotentialMisuse_2693</t>
    <phoneticPr fontId="1" type="noConversion"/>
  </si>
  <si>
    <t>PotentialMisuse_2663</t>
    <phoneticPr fontId="1" type="noConversion"/>
  </si>
  <si>
    <t>PotentialMisuse_2716</t>
    <phoneticPr fontId="1" type="noConversion"/>
  </si>
  <si>
    <t>PotentialMisuse_2713</t>
    <phoneticPr fontId="1" type="noConversion"/>
  </si>
  <si>
    <t>PotentialMisuse_2722</t>
    <phoneticPr fontId="1" type="noConversion"/>
  </si>
  <si>
    <t>PotentialMisuse_2904</t>
    <phoneticPr fontId="1" type="noConversion"/>
  </si>
  <si>
    <t>PotentialMisuse_2951</t>
    <phoneticPr fontId="1" type="noConversion"/>
  </si>
  <si>
    <t>PotentialMisuse_3482</t>
    <phoneticPr fontId="1" type="noConversion"/>
  </si>
  <si>
    <t>PotentialMisuse_3497</t>
    <phoneticPr fontId="1" type="noConversion"/>
  </si>
  <si>
    <t>PotentialMisuse_5740</t>
    <phoneticPr fontId="1" type="noConversion"/>
  </si>
  <si>
    <t>PotentialMisuse_7523</t>
    <phoneticPr fontId="1" type="noConversion"/>
  </si>
  <si>
    <t>PotentialMisuse_5828</t>
    <phoneticPr fontId="1" type="noConversion"/>
  </si>
  <si>
    <t>PotentialMisuse_1280</t>
    <phoneticPr fontId="1" type="noConversion"/>
  </si>
  <si>
    <t>PotentialMisuse_1270</t>
    <phoneticPr fontId="1" type="noConversion"/>
  </si>
  <si>
    <t>PotentialMisuse_1214</t>
    <phoneticPr fontId="1" type="noConversion"/>
  </si>
  <si>
    <t>PotentialMisuse_1295</t>
    <phoneticPr fontId="1" type="noConversion"/>
  </si>
  <si>
    <t>PotentialMisuse_1248</t>
    <phoneticPr fontId="1" type="noConversion"/>
  </si>
  <si>
    <t>PotentialMisuse_1243</t>
    <phoneticPr fontId="1" type="noConversion"/>
  </si>
  <si>
    <t>PotentialMisuse_6240</t>
    <phoneticPr fontId="1" type="noConversion"/>
  </si>
  <si>
    <t>PotentialMisuse_6015</t>
    <phoneticPr fontId="1" type="noConversion"/>
  </si>
  <si>
    <t>PotentialMisuse_6043</t>
    <phoneticPr fontId="1" type="noConversion"/>
  </si>
  <si>
    <t>PotentialMisuse_6000</t>
    <phoneticPr fontId="1" type="noConversion"/>
  </si>
  <si>
    <t>PotentialMisuse_6003</t>
    <phoneticPr fontId="1" type="noConversion"/>
  </si>
  <si>
    <t>PotentialMisuse_5980</t>
    <phoneticPr fontId="1" type="noConversion"/>
  </si>
  <si>
    <t>PotentialMisuse_5862</t>
    <phoneticPr fontId="1" type="noConversion"/>
  </si>
  <si>
    <t>PotentialMisuse_5961</t>
    <phoneticPr fontId="1" type="noConversion"/>
  </si>
  <si>
    <t>PotentialMisuse_5966</t>
    <phoneticPr fontId="1" type="noConversion"/>
  </si>
  <si>
    <t>PotentialMisuse_5956</t>
    <phoneticPr fontId="1" type="noConversion"/>
  </si>
  <si>
    <t>PotentialMisuse_5855</t>
    <phoneticPr fontId="1" type="noConversion"/>
  </si>
  <si>
    <t>PotentialMisuse_6248</t>
    <phoneticPr fontId="1" type="noConversion"/>
  </si>
  <si>
    <t>PotentialMisuse_6311</t>
    <phoneticPr fontId="1" type="noConversion"/>
  </si>
  <si>
    <t>PotentialMisuse_6330</t>
    <phoneticPr fontId="1" type="noConversion"/>
  </si>
  <si>
    <t>PotentialMisuse_6471</t>
    <phoneticPr fontId="1" type="noConversion"/>
  </si>
  <si>
    <t>PotentialMisuse_6631</t>
    <phoneticPr fontId="1" type="noConversion"/>
  </si>
  <si>
    <t>PotentialMisuse_6665</t>
    <phoneticPr fontId="1" type="noConversion"/>
  </si>
  <si>
    <t>PotentialMisuse_7143</t>
    <phoneticPr fontId="1" type="noConversion"/>
  </si>
  <si>
    <t>PotentialMisuse_7412</t>
    <phoneticPr fontId="1" type="noConversion"/>
  </si>
  <si>
    <t>R1 classification</t>
    <phoneticPr fontId="1" type="noConversion"/>
  </si>
  <si>
    <t xml:space="preserve">Reviewer_2 </t>
    <phoneticPr fontId="1" type="noConversion"/>
  </si>
  <si>
    <t>PotentialMisuse_6976</t>
    <phoneticPr fontId="1" type="noConversion"/>
  </si>
  <si>
    <t>PotentialMisuse_6711</t>
    <phoneticPr fontId="1" type="noConversion"/>
  </si>
  <si>
    <t>PotentialMisuse_6731</t>
    <phoneticPr fontId="1" type="noConversion"/>
  </si>
  <si>
    <t>PotentialMisuse_6826</t>
    <phoneticPr fontId="1" type="noConversion"/>
  </si>
  <si>
    <t>PotentialMisuse_6823</t>
    <phoneticPr fontId="1" type="noConversion"/>
  </si>
  <si>
    <t>PotentialMisuse_6836</t>
    <phoneticPr fontId="1" type="noConversion"/>
  </si>
  <si>
    <t>PotentialMisuse_6841</t>
    <phoneticPr fontId="1" type="noConversion"/>
  </si>
  <si>
    <t>PotentialMisuse_6892</t>
    <phoneticPr fontId="1" type="noConversion"/>
  </si>
  <si>
    <t>PotentialMisuse_6900</t>
    <phoneticPr fontId="1" type="noConversion"/>
  </si>
  <si>
    <t>PotentialMisuse_7211</t>
    <phoneticPr fontId="1" type="noConversion"/>
  </si>
  <si>
    <t>PotentialMisuse_7314</t>
    <phoneticPr fontId="1" type="noConversion"/>
  </si>
  <si>
    <t>PotentialMisuse_7360</t>
    <phoneticPr fontId="1" type="noConversion"/>
  </si>
  <si>
    <t>PotentialMisuse_7454</t>
    <phoneticPr fontId="1" type="noConversion"/>
  </si>
  <si>
    <t>PotentialMisuse_7495</t>
    <phoneticPr fontId="1" type="noConversion"/>
  </si>
  <si>
    <t>PotentialMisuse_7362</t>
    <phoneticPr fontId="1" type="noConversion"/>
  </si>
  <si>
    <t>PotentialMisuse_7541</t>
    <phoneticPr fontId="1" type="noConversion"/>
  </si>
  <si>
    <t>PotentialMisuse_7749</t>
    <phoneticPr fontId="1" type="noConversion"/>
  </si>
  <si>
    <t>PotentialMisuse_7476</t>
    <phoneticPr fontId="1" type="noConversion"/>
  </si>
  <si>
    <t>PotentialMisuse_7599</t>
    <phoneticPr fontId="1" type="noConversion"/>
  </si>
  <si>
    <t>PotentialMisuse_7600</t>
    <phoneticPr fontId="1" type="noConversion"/>
  </si>
  <si>
    <t>PotentialMisuse_8051</t>
    <phoneticPr fontId="1" type="noConversion"/>
  </si>
  <si>
    <t>PotentialMisuse_8050</t>
    <phoneticPr fontId="1" type="noConversion"/>
  </si>
  <si>
    <t>PotentialMisuse_8026</t>
    <phoneticPr fontId="1" type="noConversion"/>
  </si>
  <si>
    <t>PotentialMisuse_8999</t>
    <phoneticPr fontId="1" type="noConversion"/>
  </si>
  <si>
    <t>PotentialMisuse_8613</t>
    <phoneticPr fontId="1" type="noConversion"/>
  </si>
  <si>
    <t>PotentialMisuse_8168</t>
    <phoneticPr fontId="1" type="noConversion"/>
  </si>
  <si>
    <t>PotentialMisuse_8121</t>
    <phoneticPr fontId="1" type="noConversion"/>
  </si>
  <si>
    <t>PotentialMisuse_8195</t>
    <phoneticPr fontId="1" type="noConversion"/>
  </si>
  <si>
    <t>PotentialMisuse_8102</t>
    <phoneticPr fontId="1" type="noConversion"/>
  </si>
  <si>
    <t>PotentialMisuse_8221</t>
    <phoneticPr fontId="1" type="noConversion"/>
  </si>
  <si>
    <t>PotentialMisuse_8367</t>
    <phoneticPr fontId="1" type="noConversion"/>
  </si>
  <si>
    <t>PotentialMisuse_8567</t>
    <phoneticPr fontId="1" type="noConversion"/>
  </si>
  <si>
    <t>PotentialMisuse_8491</t>
    <phoneticPr fontId="1" type="noConversion"/>
  </si>
  <si>
    <t>PotentialMisuse_8425</t>
    <phoneticPr fontId="1" type="noConversion"/>
  </si>
  <si>
    <t>PotentialMisuse_8397</t>
    <phoneticPr fontId="1" type="noConversion"/>
  </si>
  <si>
    <t>PotentialMisuse_8583</t>
    <phoneticPr fontId="1" type="noConversion"/>
  </si>
  <si>
    <t>PotentialMisuse_8672</t>
    <phoneticPr fontId="1" type="noConversion"/>
  </si>
  <si>
    <t>PotentialMisuse_8708</t>
    <phoneticPr fontId="1" type="noConversion"/>
  </si>
  <si>
    <t>PotentialMisuse_8390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</si>
</sst>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7E3794"/>
      <name val="Arial"/>
      <family val="2"/>
    </font>
    <font>
      <b/>
      <sz val="11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  <fill>
      <patternFill patternType="solid">
        <fgColor theme="9" tint="0.59999389629810485"/>
        <bgColor rgb="FFFBBC0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C00FF"/>
        <bgColor rgb="FFFF0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/>
    <xf numFmtId="0" fontId="0" fillId="0" borderId="0" xfId="0" applyFont="1" applyAlignment="1"/>
    <xf numFmtId="0" fontId="4" fillId="3" borderId="0" xfId="0" applyFont="1" applyFill="1" applyAlignment="1"/>
    <xf numFmtId="0" fontId="4" fillId="4" borderId="0" xfId="0" applyFont="1" applyFill="1" applyAlignment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0" fillId="0" borderId="0" xfId="0" applyFill="1"/>
    <xf numFmtId="0" fontId="3" fillId="6" borderId="1" xfId="0" applyFont="1" applyFill="1" applyBorder="1" applyAlignment="1"/>
    <xf numFmtId="0" fontId="3" fillId="6" borderId="0" xfId="0" applyFont="1" applyFill="1" applyAlignment="1"/>
    <xf numFmtId="0" fontId="4" fillId="7" borderId="0" xfId="0" applyFont="1" applyFill="1" applyAlignme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stackoverflow.com/questions/21310279" TargetMode="External"/><Relationship Id="rId21" Type="http://schemas.openxmlformats.org/officeDocument/2006/relationships/hyperlink" Target="http://stackoverflow.com/questions/23476519" TargetMode="External"/><Relationship Id="rId42" Type="http://schemas.openxmlformats.org/officeDocument/2006/relationships/hyperlink" Target="https://sourceforge.net/p/jfreechart/code/2183/tree/trunk/source/org/jfree/chart/plot/XYPlot.java?diff=50b53b485fcbc92b6542a639:2182" TargetMode="External"/><Relationship Id="rId47" Type="http://schemas.openxmlformats.org/officeDocument/2006/relationships/hyperlink" Target="http://svn.apache.org/viewvc/jackrabbit/trunk/jackrabbit-jca/src/main/java/org/apache/jackrabbit/jca/JCARepositoryManager.java?r1=1232831&amp;r2=1232830&amp;pathrev=1232831&amp;diff_format=h" TargetMode="External"/><Relationship Id="rId63" Type="http://schemas.openxmlformats.org/officeDocument/2006/relationships/hyperlink" Target="http://svn.apache.org/viewvc/lucene/java/trunk/src/java/org/apache/lucene/index/ParallelReader.java?r1=816602&amp;r2=816601&amp;pathrev=816602&amp;diff_format=h" TargetMode="External"/><Relationship Id="rId68" Type="http://schemas.openxmlformats.org/officeDocument/2006/relationships/hyperlink" Target="http://svn.apache.org/viewvc/jackrabbit/trunk/jackrabbit-jcr2spi/src/main/java/org/apache/jackrabbit/jcr2spi/NamespaceRegistryImpl.java?r1=1133332&amp;r2=1133331&amp;pathrev=1133332&amp;diff_format=h" TargetMode="External"/><Relationship Id="rId2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16" Type="http://schemas.openxmlformats.org/officeDocument/2006/relationships/hyperlink" Target="http://stackoverflow.com/questions/29530026" TargetMode="External"/><Relationship Id="rId29" Type="http://schemas.openxmlformats.org/officeDocument/2006/relationships/hyperlink" Target="http://stackoverflow.com/questions/7916736" TargetMode="External"/><Relationship Id="rId11" Type="http://schemas.openxmlformats.org/officeDocument/2006/relationships/hyperlink" Target="https://github.com/alibaba/druid/commit/e10f2849d046265bf17360ab4aa9eb60fd3ab8de" TargetMode="External"/><Relationship Id="rId24" Type="http://schemas.openxmlformats.org/officeDocument/2006/relationships/hyperlink" Target="https://stackoverflow.com/questions/18316242/cannot-process-url-with-vertical-pipe-bar-in-java-apache-httpclient/18316928" TargetMode="External"/><Relationship Id="rId32" Type="http://schemas.openxmlformats.org/officeDocument/2006/relationships/hyperlink" Target="https://stackoverflow.com/questions/12742594/extract-src-image-field-from-a-simple-html-string-without-a-parser/12742734" TargetMode="External"/><Relationship Id="rId37" Type="http://schemas.openxmlformats.org/officeDocument/2006/relationships/hyperlink" Target="http://svn.apache.org/viewvc/lucene/dev/trunk/lucene/contrib/benchmark/src/java/org/apache/lucene/benchmark/byTask/tasks/DeleteByPercentTask.java?r1=957486&amp;r2=957485&amp;pathrev=957486&amp;diff_format=h" TargetMode="External"/><Relationship Id="rId40" Type="http://schemas.openxmlformats.org/officeDocument/2006/relationships/hyperlink" Target="https://sourceforge.net/p/jfreechart/code/811/tree/trunk/source/org/jfree/chart/plot/CategoryPlot.java?diff=50b53b485fcbc92b6542a639:810" TargetMode="External"/><Relationship Id="rId45" Type="http://schemas.openxmlformats.org/officeDocument/2006/relationships/hyperlink" Target="https://sourceforge.net/p/jfreechart/code/103/tree/trunk/source/org/jfree/chart/axis/Axis.java?diff=50b53b485fcbc92b6542a639:102" TargetMode="External"/><Relationship Id="rId53" Type="http://schemas.openxmlformats.org/officeDocument/2006/relationships/hyperlink" Target="https://github.com/google/closure-compiler/commit/67289ae4cbaba3ae70cd2e8fb92f3f2898039dfb" TargetMode="External"/><Relationship Id="rId58" Type="http://schemas.openxmlformats.org/officeDocument/2006/relationships/hyperlink" Target="http://svn.apache.org/viewvc/commons/proper/lang/trunk/src/java/org/apache/commons/lang/text/StrBuilder.java?r1=627248&amp;r2=627247&amp;pathrev=627248&amp;diff_format=h" TargetMode="External"/><Relationship Id="rId66" Type="http://schemas.openxmlformats.org/officeDocument/2006/relationships/hyperlink" Target="http://svn.apache.org/viewvc/incubator/jackrabbit/trunk/contrib/bdb-persistence/src/java/org/apache/jackrabbit/core/state/bdb/BerkeleyDBPersistenceManager.java?r1=263892&amp;r2=263891&amp;pathrev=263892&amp;diff_format=h" TargetMode="External"/><Relationship Id="rId74" Type="http://schemas.openxmlformats.org/officeDocument/2006/relationships/hyperlink" Target="https://github.com/emopers/asterisk-java/commit/41461b41309bf9f027a46f178cb777a1a94b8c3f" TargetMode="External"/><Relationship Id="rId5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61" Type="http://schemas.openxmlformats.org/officeDocument/2006/relationships/hyperlink" Target="https://stackoverflow.com/questions/10166011/how-to-use-java-nio-channels-filechannel-to-write-a-byte-to-a-file-basics/10166055" TargetMode="External"/><Relationship Id="rId19" Type="http://schemas.openxmlformats.org/officeDocument/2006/relationships/hyperlink" Target="http://stackoverflow.com/questions/37577463" TargetMode="External"/><Relationship Id="rId14" Type="http://schemas.openxmlformats.org/officeDocument/2006/relationships/hyperlink" Target="http://stackoverflow.com/questions/14654133" TargetMode="External"/><Relationship Id="rId22" Type="http://schemas.openxmlformats.org/officeDocument/2006/relationships/hyperlink" Target="http://stackoverflow.com/questions/27960657" TargetMode="External"/><Relationship Id="rId27" Type="http://schemas.openxmlformats.org/officeDocument/2006/relationships/hyperlink" Target="http://stackoverflow.com/questions/116625" TargetMode="External"/><Relationship Id="rId30" Type="http://schemas.openxmlformats.org/officeDocument/2006/relationships/hyperlink" Target="http://stackoverflow.com/questions/33775696" TargetMode="External"/><Relationship Id="rId35" Type="http://schemas.openxmlformats.org/officeDocument/2006/relationships/hyperlink" Target="http://svn.apache.org/viewvc/jackrabbit/trunk/jackrabbit-core/src/main/java/org/apache/jackrabbit/core/ItemManager.java?r1=656282&amp;r2=656281&amp;pathrev=656282&amp;diff_format=h" TargetMode="External"/><Relationship Id="rId43" Type="http://schemas.openxmlformats.org/officeDocument/2006/relationships/hyperlink" Target="https://sourceforge.net/p/jfreechart/code/164/tree/trunk/source/org/jfree/chart/renderer/category/StatisticalBarRenderer.java?diff=50b53b485fcbc92b6542a639:163" TargetMode="External"/><Relationship Id="rId48" Type="http://schemas.openxmlformats.org/officeDocument/2006/relationships/hyperlink" Target="http://svn.apache.org/viewvc/jackrabbit/trunk/jackrabbit-jcr2spi/src/main/java/org/apache/jackrabbit/jcr2spi/state/ItemState.java?r1=1240198&amp;r2=1240197&amp;pathrev=1240198&amp;diff_format=h" TargetMode="External"/><Relationship Id="rId56" Type="http://schemas.openxmlformats.org/officeDocument/2006/relationships/hyperlink" Target="http://svn.apache.org/viewvc/commons/proper/math/trunk/src/main/java/org/apache/commons/math3/geometry/euclidean/twod/SubLine.java?r1=1488866&amp;r2=1488865&amp;pathrev=1488866&amp;diff_format=h" TargetMode="External"/><Relationship Id="rId64" Type="http://schemas.openxmlformats.org/officeDocument/2006/relationships/hyperlink" Target="https://github.com/emopers/joda-time/commit/0e82517a7f4a2e659143ce84ff1f4ea706e9a88c" TargetMode="External"/><Relationship Id="rId69" Type="http://schemas.openxmlformats.org/officeDocument/2006/relationships/hyperlink" Target="http://svn.apache.org/viewvc/jackrabbit/trunk/jackrabbit-core/src/main/java/org/apache/jackrabbit/core/persistence/xml/XMLPersistenceManager.java?r1=965539&amp;r2=965538&amp;pathrev=965539&amp;diff_format=h" TargetMode="External"/><Relationship Id="rId8" Type="http://schemas.openxmlformats.org/officeDocument/2006/relationships/hyperlink" Target="http://sourceforge.net/p/adempiere/svn/1312/tree/trunk/looks/src/org/compiere/util/Secure.java?diff=5139a2ef34309d2ec1827857:1311" TargetMode="External"/><Relationship Id="rId51" Type="http://schemas.openxmlformats.org/officeDocument/2006/relationships/hyperlink" Target="http://svn.apache.org/viewvc/jackrabbit/trunk/jackrabbit-jcr-server/src/main/java/org/apache/jackrabbit/webdav/jcr/JcrDavException.java?r1=677893&amp;r2=677892&amp;pathrev=677893&amp;diff_format=h" TargetMode="External"/><Relationship Id="rId72" Type="http://schemas.openxmlformats.org/officeDocument/2006/relationships/hyperlink" Target="https://github.com/emopers/Confucius/commit/2fefd5eb6d77ab1b83efe3bf50171aabc7128460" TargetMode="External"/><Relationship Id="rId3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12" Type="http://schemas.openxmlformats.org/officeDocument/2006/relationships/hyperlink" Target="https://github.com/alibaba/druid/commit/e10f2849d046265bf17360ab4aa9eb60fd3ab8de" TargetMode="External"/><Relationship Id="rId17" Type="http://schemas.openxmlformats.org/officeDocument/2006/relationships/hyperlink" Target="http://stackoverflow.com/questions/35488770" TargetMode="External"/><Relationship Id="rId25" Type="http://schemas.openxmlformats.org/officeDocument/2006/relationships/hyperlink" Target="http://stackoverflow.com/questions/23007311" TargetMode="External"/><Relationship Id="rId33" Type="http://schemas.openxmlformats.org/officeDocument/2006/relationships/hyperlink" Target="https://stackoverflow.com/questions/31531250" TargetMode="External"/><Relationship Id="rId38" Type="http://schemas.openxmlformats.org/officeDocument/2006/relationships/hyperlink" Target="http://svn.apache.org/viewvc/lucene/java/trunk/src/java/org/apache/lucene/store/FSDirectory.java?r1=150347&amp;r2=150346&amp;pathrev=150347&amp;diff_format=h" TargetMode="External"/><Relationship Id="rId46" Type="http://schemas.openxmlformats.org/officeDocument/2006/relationships/hyperlink" Target="http://svn.apache.org/viewvc/incubator/jackrabbit/trunk/src/java/org/apache/jackrabbit/core/state/obj/ObjectPersistenceManager.java?r1=55854&amp;r2=55853&amp;pathrev=55854&amp;diff_format=h" TargetMode="External"/><Relationship Id="rId59" Type="http://schemas.openxmlformats.org/officeDocument/2006/relationships/hyperlink" Target="https://github.com/Tyde/TuCanMobile/commit/02e046e5cc53ad218264dc28a4b96941f2902e38" TargetMode="External"/><Relationship Id="rId67" Type="http://schemas.openxmlformats.org/officeDocument/2006/relationships/hyperlink" Target="http://svn.apache.org/viewvc/incubator/jackrabbit/trunk/src/java/org/apache/jackrabbit/core/state/xml/XMLPersistenceManager.java?r1=55854&amp;r2=55853&amp;pathrev=55854&amp;diff_format=h" TargetMode="External"/><Relationship Id="rId20" Type="http://schemas.openxmlformats.org/officeDocument/2006/relationships/hyperlink" Target="http://stackoverflow.com/questions/21656728" TargetMode="External"/><Relationship Id="rId41" Type="http://schemas.openxmlformats.org/officeDocument/2006/relationships/hyperlink" Target="https://sourceforge.net/p/jfreechart/code/2266/tree/trunk/source/org/jfree/chart/renderer/category/AbstractCategoryItemRenderer.java?diff=50b53b485fcbc92b6542a639:2265" TargetMode="External"/><Relationship Id="rId54" Type="http://schemas.openxmlformats.org/officeDocument/2006/relationships/hyperlink" Target="http://svn.apache.org/viewvc/jakarta/commons/proper/httpclient/trunk/src/java/org/apache/commons/httpclient/HttpMethodDirector.java?r1=160490&amp;r2=160489&amp;pathrev=160490&amp;diff_format=h" TargetMode="External"/><Relationship Id="rId62" Type="http://schemas.openxmlformats.org/officeDocument/2006/relationships/hyperlink" Target="https://github.com/lkorth/screen-notifications/commit/afc542066ae1a3c57974dc180374407a7954124d" TargetMode="External"/><Relationship Id="rId70" Type="http://schemas.openxmlformats.org/officeDocument/2006/relationships/hyperlink" Target="http://svn.apache.org/viewvc/jackrabbit/trunk/jackrabbit-spi-commons/src/main/java/org/apache/jackrabbit/spi/commons/value/QValueFactoryImpl.java?r1=698246&amp;r2=698245&amp;pathrev=698246&amp;diff_format=h" TargetMode="External"/><Relationship Id="rId75" Type="http://schemas.openxmlformats.org/officeDocument/2006/relationships/hyperlink" Target="https://github.com/apache/gora/commit/4f98503c014c359b6ab018f43920d454b0344160" TargetMode="External"/><Relationship Id="rId1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6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15" Type="http://schemas.openxmlformats.org/officeDocument/2006/relationships/hyperlink" Target="http://stackoverflow.com/questions/36391399" TargetMode="External"/><Relationship Id="rId23" Type="http://schemas.openxmlformats.org/officeDocument/2006/relationships/hyperlink" Target="http://stackoverflow.com/questions/27960657" TargetMode="External"/><Relationship Id="rId28" Type="http://schemas.openxmlformats.org/officeDocument/2006/relationships/hyperlink" Target="http://stackoverflow.com/questions/37431352" TargetMode="External"/><Relationship Id="rId36" Type="http://schemas.openxmlformats.org/officeDocument/2006/relationships/hyperlink" Target="https://github.com/haku/Onosendai/commit/0e2a7570ab4491d0c4680ef52ee1008bef33fc02" TargetMode="External"/><Relationship Id="rId49" Type="http://schemas.openxmlformats.org/officeDocument/2006/relationships/hyperlink" Target="http://svn.apache.org/viewvc/jackrabbit/trunk/jackrabbit-core/src/main/java/org/apache/jackrabbit/core/query/lucene/IndexingConfigurationImpl.java?r1=926354&amp;r2=926353&amp;pathrev=926354&amp;diff_format=h" TargetMode="External"/><Relationship Id="rId57" Type="http://schemas.openxmlformats.org/officeDocument/2006/relationships/hyperlink" Target="http://svn.apache.org/viewvc/commons/proper/math/trunk/src/main/java/org/apache/commons/math3/geometry/euclidean/threed/SubLine.java?r1=1488866&amp;r2=1488865&amp;pathrev=1488866&amp;diff_format=h" TargetMode="External"/><Relationship Id="rId10" Type="http://schemas.openxmlformats.org/officeDocument/2006/relationships/hyperlink" Target="https://github.com/androidrcs/rcsjta/commit/04d84799daa51ed7cc0ad270f0eea51ffaf7a53a" TargetMode="External"/><Relationship Id="rId31" Type="http://schemas.openxmlformats.org/officeDocument/2006/relationships/hyperlink" Target="http://stackoverflow.com/questions/30105609" TargetMode="External"/><Relationship Id="rId44" Type="http://schemas.openxmlformats.org/officeDocument/2006/relationships/hyperlink" Target="https://sourceforge.net/p/jfreechart/code/164/tree/trunk/source/org/jfree/chart/renderer/category/StatisticalBarRenderer.java?diff=50b53b485fcbc92b6542a639:163" TargetMode="External"/><Relationship Id="rId52" Type="http://schemas.openxmlformats.org/officeDocument/2006/relationships/hyperlink" Target="https://github.com/google/closure-compiler/commit/43c245f0ff8d409e81e25687e69d34666b7cf26a" TargetMode="External"/><Relationship Id="rId60" Type="http://schemas.openxmlformats.org/officeDocument/2006/relationships/hyperlink" Target="https://github.com/emopers/visualee/commit/cb7b08d182b463e78f85f7851cce64d6cf0e36b5" TargetMode="External"/><Relationship Id="rId65" Type="http://schemas.openxmlformats.org/officeDocument/2006/relationships/hyperlink" Target="https://sourceforge.net/p/jmrtd/code/51/tree/passporthostapi/src/sos/mrtd/SecureMessagingWrapper.java?diff=5058d727fd48f84fd52d6740:50" TargetMode="External"/><Relationship Id="rId73" Type="http://schemas.openxmlformats.org/officeDocument/2006/relationships/hyperlink" Target="https://issues.apache.org/jira/secure/attachment/12327222/ASF.LICENSE.NOT.GRANTED--dateutil.patch" TargetMode="External"/><Relationship Id="rId4" Type="http://schemas.openxmlformats.org/officeDocument/2006/relationships/hyperlink" Target="http://sourceforge.net/p/battleforge/code/878/tree/trunk/de.battleforge/src/java/de/battleforge/util/BFProperties.java?diff=50ee84dee88f3d24b3d975fe:877" TargetMode="External"/><Relationship Id="rId9" Type="http://schemas.openxmlformats.org/officeDocument/2006/relationships/hyperlink" Target="https://github.com/androidrcs/rcsjta/commit/04d84799daa51ed7cc0ad270f0eea51ffaf7a53a" TargetMode="External"/><Relationship Id="rId13" Type="http://schemas.openxmlformats.org/officeDocument/2006/relationships/hyperlink" Target="http://stackoverflow.com/questions/6210258" TargetMode="External"/><Relationship Id="rId18" Type="http://schemas.openxmlformats.org/officeDocument/2006/relationships/hyperlink" Target="http://stackoverflow.com/questions/37541746" TargetMode="External"/><Relationship Id="rId39" Type="http://schemas.openxmlformats.org/officeDocument/2006/relationships/hyperlink" Target="http://svn.apache.org/viewvc/lucene/java/trunk/src/java/org/apache/lucene/store/FSDirectory.java?r1=642339&amp;r2=642338&amp;pathrev=642339&amp;diff_format=h" TargetMode="External"/><Relationship Id="rId34" Type="http://schemas.openxmlformats.org/officeDocument/2006/relationships/hyperlink" Target="http://stackoverflow.com/questions/10506546" TargetMode="External"/><Relationship Id="rId50" Type="http://schemas.openxmlformats.org/officeDocument/2006/relationships/hyperlink" Target="http://svn.apache.org/viewvc/jackrabbit/trunk/jackrabbit-jcr-server/src/main/java/org/apache/jackrabbit/server/io/DefaultHandler.java?r1=880743&amp;r2=880742&amp;pathrev=880743&amp;diff_format=h" TargetMode="External"/><Relationship Id="rId55" Type="http://schemas.openxmlformats.org/officeDocument/2006/relationships/hyperlink" Target="https://github.com/fefe982/gnucash-android/commit/ce50ee116f18a373f30cb135ee48b5ad6c187db0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://sourceforge.net/p/adempiere/svn/1312/tree/trunk/looks/src/org/compiere/util/Secure.java?diff=5139a2ef34309d2ec1827857:1311" TargetMode="External"/><Relationship Id="rId71" Type="http://schemas.openxmlformats.org/officeDocument/2006/relationships/hyperlink" Target="http://svn.apache.org/viewvc/jackrabbit/trunk/jackrabbit-core/src/main/java/org/apache/jackrabbit/core/config/RepositoryConfigurationParser.java?r1=695766&amp;r2=695765&amp;pathrev=695766&amp;diff_format=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topLeftCell="A34" zoomScaleNormal="100" workbookViewId="0">
      <selection activeCell="E18" sqref="E18"/>
    </sheetView>
  </sheetViews>
  <sheetFormatPr defaultRowHeight="14.25" x14ac:dyDescent="0.2"/>
  <cols>
    <col min="1" max="1" width="40.875" customWidth="1"/>
    <col min="2" max="2" width="70.625" customWidth="1"/>
  </cols>
  <sheetData>
    <row r="1" spans="1:2" x14ac:dyDescent="0.2">
      <c r="A1" t="s">
        <v>1</v>
      </c>
      <c r="B1" t="s">
        <v>2</v>
      </c>
    </row>
    <row r="2" spans="1:2" x14ac:dyDescent="0.2">
      <c r="A2" t="s">
        <v>0</v>
      </c>
      <c r="B2" s="1" t="s">
        <v>3</v>
      </c>
    </row>
    <row r="3" spans="1:2" x14ac:dyDescent="0.2">
      <c r="A3" t="s">
        <v>4</v>
      </c>
      <c r="B3" s="1" t="s">
        <v>8</v>
      </c>
    </row>
    <row r="4" spans="1:2" x14ac:dyDescent="0.2">
      <c r="A4" t="s">
        <v>4</v>
      </c>
      <c r="B4" s="1" t="s">
        <v>9</v>
      </c>
    </row>
    <row r="5" spans="1:2" x14ac:dyDescent="0.2">
      <c r="A5" t="s">
        <v>4</v>
      </c>
      <c r="B5" s="1" t="s">
        <v>10</v>
      </c>
    </row>
    <row r="6" spans="1:2" x14ac:dyDescent="0.2">
      <c r="A6" t="s">
        <v>4</v>
      </c>
      <c r="B6" s="1" t="s">
        <v>9</v>
      </c>
    </row>
    <row r="7" spans="1:2" x14ac:dyDescent="0.2">
      <c r="A7" t="s">
        <v>4</v>
      </c>
      <c r="B7" s="1" t="s">
        <v>10</v>
      </c>
    </row>
    <row r="8" spans="1:2" x14ac:dyDescent="0.2">
      <c r="A8" t="s">
        <v>4</v>
      </c>
      <c r="B8" s="1" t="s">
        <v>11</v>
      </c>
    </row>
    <row r="9" spans="1:2" x14ac:dyDescent="0.2">
      <c r="A9" t="s">
        <v>5</v>
      </c>
      <c r="B9" s="1" t="s">
        <v>9</v>
      </c>
    </row>
    <row r="10" spans="1:2" x14ac:dyDescent="0.2">
      <c r="A10" t="s">
        <v>5</v>
      </c>
      <c r="B10" s="1" t="s">
        <v>10</v>
      </c>
    </row>
    <row r="11" spans="1:2" x14ac:dyDescent="0.2">
      <c r="A11" t="s">
        <v>6</v>
      </c>
      <c r="B11" s="1" t="s">
        <v>12</v>
      </c>
    </row>
    <row r="12" spans="1:2" x14ac:dyDescent="0.2">
      <c r="A12" t="s">
        <v>6</v>
      </c>
      <c r="B12" s="1" t="s">
        <v>10</v>
      </c>
    </row>
    <row r="13" spans="1:2" x14ac:dyDescent="0.2">
      <c r="A13" t="s">
        <v>7</v>
      </c>
      <c r="B13" s="1" t="s">
        <v>13</v>
      </c>
    </row>
    <row r="14" spans="1:2" x14ac:dyDescent="0.2">
      <c r="A14" t="s">
        <v>7</v>
      </c>
      <c r="B14" s="1" t="s">
        <v>14</v>
      </c>
    </row>
    <row r="15" spans="1:2" x14ac:dyDescent="0.2">
      <c r="A15" t="s">
        <v>15</v>
      </c>
      <c r="B15" s="1" t="s">
        <v>16</v>
      </c>
    </row>
    <row r="16" spans="1:2" x14ac:dyDescent="0.2">
      <c r="A16" t="s">
        <v>17</v>
      </c>
      <c r="B16" s="1" t="s">
        <v>18</v>
      </c>
    </row>
    <row r="17" spans="1:2" x14ac:dyDescent="0.2">
      <c r="A17" t="s">
        <v>19</v>
      </c>
      <c r="B17" s="1" t="s">
        <v>20</v>
      </c>
    </row>
    <row r="18" spans="1:2" x14ac:dyDescent="0.2">
      <c r="A18" t="s">
        <v>21</v>
      </c>
      <c r="B18" s="1" t="s">
        <v>22</v>
      </c>
    </row>
    <row r="19" spans="1:2" x14ac:dyDescent="0.2">
      <c r="A19" t="s">
        <v>23</v>
      </c>
      <c r="B19" s="1" t="s">
        <v>24</v>
      </c>
    </row>
    <row r="20" spans="1:2" x14ac:dyDescent="0.2">
      <c r="A20" t="s">
        <v>25</v>
      </c>
      <c r="B20" s="1" t="s">
        <v>26</v>
      </c>
    </row>
    <row r="21" spans="1:2" x14ac:dyDescent="0.2">
      <c r="A21" t="s">
        <v>27</v>
      </c>
      <c r="B21" s="1" t="s">
        <v>28</v>
      </c>
    </row>
    <row r="22" spans="1:2" x14ac:dyDescent="0.2">
      <c r="A22" t="s">
        <v>29</v>
      </c>
      <c r="B22" s="1" t="s">
        <v>30</v>
      </c>
    </row>
    <row r="23" spans="1:2" x14ac:dyDescent="0.2">
      <c r="A23" t="s">
        <v>31</v>
      </c>
      <c r="B23" s="1" t="s">
        <v>32</v>
      </c>
    </row>
    <row r="24" spans="1:2" x14ac:dyDescent="0.2">
      <c r="A24" t="s">
        <v>33</v>
      </c>
      <c r="B24" s="1" t="s">
        <v>34</v>
      </c>
    </row>
    <row r="25" spans="1:2" x14ac:dyDescent="0.2">
      <c r="A25" t="s">
        <v>33</v>
      </c>
      <c r="B25" s="1" t="s">
        <v>35</v>
      </c>
    </row>
    <row r="26" spans="1:2" x14ac:dyDescent="0.2">
      <c r="A26" t="s">
        <v>36</v>
      </c>
      <c r="B26" s="1" t="s">
        <v>37</v>
      </c>
    </row>
    <row r="27" spans="1:2" x14ac:dyDescent="0.2">
      <c r="A27" t="s">
        <v>38</v>
      </c>
      <c r="B27" s="1" t="s">
        <v>39</v>
      </c>
    </row>
    <row r="28" spans="1:2" x14ac:dyDescent="0.2">
      <c r="A28" t="s">
        <v>40</v>
      </c>
      <c r="B28" s="1" t="s">
        <v>41</v>
      </c>
    </row>
    <row r="29" spans="1:2" x14ac:dyDescent="0.2">
      <c r="A29" t="s">
        <v>42</v>
      </c>
      <c r="B29" s="1" t="s">
        <v>43</v>
      </c>
    </row>
    <row r="30" spans="1:2" x14ac:dyDescent="0.2">
      <c r="A30" t="s">
        <v>44</v>
      </c>
      <c r="B30" s="1" t="s">
        <v>45</v>
      </c>
    </row>
    <row r="31" spans="1:2" x14ac:dyDescent="0.2">
      <c r="A31" t="s">
        <v>46</v>
      </c>
      <c r="B31" s="1" t="s">
        <v>47</v>
      </c>
    </row>
    <row r="32" spans="1:2" x14ac:dyDescent="0.2">
      <c r="A32" t="s">
        <v>48</v>
      </c>
      <c r="B32" s="1" t="s">
        <v>49</v>
      </c>
    </row>
    <row r="33" spans="1:2" x14ac:dyDescent="0.2">
      <c r="A33" t="s">
        <v>50</v>
      </c>
      <c r="B33" s="1" t="s">
        <v>51</v>
      </c>
    </row>
    <row r="34" spans="1:2" x14ac:dyDescent="0.2">
      <c r="A34" t="s">
        <v>52</v>
      </c>
      <c r="B34" s="1" t="s">
        <v>53</v>
      </c>
    </row>
    <row r="35" spans="1:2" x14ac:dyDescent="0.2">
      <c r="A35" t="s">
        <v>54</v>
      </c>
      <c r="B35" s="1" t="s">
        <v>55</v>
      </c>
    </row>
    <row r="36" spans="1:2" x14ac:dyDescent="0.2">
      <c r="A36" t="s">
        <v>56</v>
      </c>
      <c r="B36" s="1" t="s">
        <v>57</v>
      </c>
    </row>
    <row r="37" spans="1:2" x14ac:dyDescent="0.2">
      <c r="A37" t="s">
        <v>58</v>
      </c>
      <c r="B37" s="1" t="s">
        <v>59</v>
      </c>
    </row>
    <row r="38" spans="1:2" x14ac:dyDescent="0.2">
      <c r="A38" t="s">
        <v>60</v>
      </c>
      <c r="B38" s="1" t="s">
        <v>61</v>
      </c>
    </row>
    <row r="39" spans="1:2" x14ac:dyDescent="0.2">
      <c r="A39" t="s">
        <v>62</v>
      </c>
      <c r="B39" s="1" t="s">
        <v>61</v>
      </c>
    </row>
    <row r="40" spans="1:2" x14ac:dyDescent="0.2">
      <c r="A40" t="s">
        <v>63</v>
      </c>
      <c r="B40" s="1" t="s">
        <v>64</v>
      </c>
    </row>
    <row r="41" spans="1:2" x14ac:dyDescent="0.2">
      <c r="A41" t="s">
        <v>65</v>
      </c>
      <c r="B41" s="1" t="s">
        <v>66</v>
      </c>
    </row>
    <row r="42" spans="1:2" x14ac:dyDescent="0.2">
      <c r="A42" t="s">
        <v>67</v>
      </c>
      <c r="B42" s="1" t="s">
        <v>68</v>
      </c>
    </row>
    <row r="43" spans="1:2" x14ac:dyDescent="0.2">
      <c r="A43" t="s">
        <v>69</v>
      </c>
      <c r="B43" s="1" t="s">
        <v>70</v>
      </c>
    </row>
    <row r="44" spans="1:2" x14ac:dyDescent="0.2">
      <c r="A44" t="s">
        <v>71</v>
      </c>
      <c r="B44" s="1" t="s">
        <v>72</v>
      </c>
    </row>
    <row r="45" spans="1:2" x14ac:dyDescent="0.2">
      <c r="A45" t="s">
        <v>73</v>
      </c>
      <c r="B45" s="1" t="s">
        <v>72</v>
      </c>
    </row>
    <row r="46" spans="1:2" x14ac:dyDescent="0.2">
      <c r="A46" t="s">
        <v>74</v>
      </c>
      <c r="B46" s="1" t="s">
        <v>75</v>
      </c>
    </row>
    <row r="47" spans="1:2" x14ac:dyDescent="0.2">
      <c r="A47" t="s">
        <v>74</v>
      </c>
      <c r="B47" s="1" t="s">
        <v>76</v>
      </c>
    </row>
    <row r="48" spans="1:2" x14ac:dyDescent="0.2">
      <c r="A48" t="s">
        <v>77</v>
      </c>
      <c r="B48" s="1" t="s">
        <v>78</v>
      </c>
    </row>
    <row r="49" spans="1:2" x14ac:dyDescent="0.2">
      <c r="A49" t="s">
        <v>79</v>
      </c>
      <c r="B49" s="1" t="s">
        <v>80</v>
      </c>
    </row>
    <row r="50" spans="1:2" x14ac:dyDescent="0.2">
      <c r="A50" t="s">
        <v>81</v>
      </c>
      <c r="B50" s="1" t="s">
        <v>82</v>
      </c>
    </row>
    <row r="51" spans="1:2" x14ac:dyDescent="0.2">
      <c r="A51" t="s">
        <v>83</v>
      </c>
      <c r="B51" s="1" t="s">
        <v>84</v>
      </c>
    </row>
    <row r="52" spans="1:2" x14ac:dyDescent="0.2">
      <c r="A52" t="s">
        <v>85</v>
      </c>
      <c r="B52" s="1" t="s">
        <v>86</v>
      </c>
    </row>
    <row r="53" spans="1:2" x14ac:dyDescent="0.2">
      <c r="A53" t="s">
        <v>87</v>
      </c>
      <c r="B53" s="1" t="s">
        <v>88</v>
      </c>
    </row>
    <row r="54" spans="1:2" x14ac:dyDescent="0.2">
      <c r="A54" t="s">
        <v>89</v>
      </c>
      <c r="B54" s="1" t="s">
        <v>90</v>
      </c>
    </row>
    <row r="55" spans="1:2" x14ac:dyDescent="0.2">
      <c r="A55" t="s">
        <v>91</v>
      </c>
      <c r="B55" s="1" t="s">
        <v>92</v>
      </c>
    </row>
    <row r="56" spans="1:2" x14ac:dyDescent="0.2">
      <c r="A56" t="s">
        <v>93</v>
      </c>
      <c r="B56" s="1" t="s">
        <v>94</v>
      </c>
    </row>
    <row r="57" spans="1:2" x14ac:dyDescent="0.2">
      <c r="A57" t="s">
        <v>95</v>
      </c>
      <c r="B57" s="1" t="s">
        <v>96</v>
      </c>
    </row>
    <row r="58" spans="1:2" x14ac:dyDescent="0.2">
      <c r="A58" t="s">
        <v>97</v>
      </c>
      <c r="B58" s="1" t="s">
        <v>98</v>
      </c>
    </row>
    <row r="59" spans="1:2" x14ac:dyDescent="0.2">
      <c r="A59" t="s">
        <v>99</v>
      </c>
      <c r="B59" s="1" t="s">
        <v>100</v>
      </c>
    </row>
    <row r="60" spans="1:2" x14ac:dyDescent="0.2">
      <c r="A60" t="s">
        <v>101</v>
      </c>
      <c r="B60" s="1" t="s">
        <v>102</v>
      </c>
    </row>
    <row r="61" spans="1:2" x14ac:dyDescent="0.2">
      <c r="A61" t="s">
        <v>103</v>
      </c>
      <c r="B61" s="1" t="s">
        <v>104</v>
      </c>
    </row>
    <row r="62" spans="1:2" x14ac:dyDescent="0.2">
      <c r="A62" t="s">
        <v>105</v>
      </c>
      <c r="B62" s="1" t="s">
        <v>106</v>
      </c>
    </row>
    <row r="63" spans="1:2" x14ac:dyDescent="0.2">
      <c r="A63" t="s">
        <v>107</v>
      </c>
      <c r="B63" s="1" t="s">
        <v>108</v>
      </c>
    </row>
    <row r="64" spans="1:2" x14ac:dyDescent="0.2">
      <c r="A64" t="s">
        <v>109</v>
      </c>
      <c r="B64" s="1" t="s">
        <v>59</v>
      </c>
    </row>
    <row r="65" spans="1:2" x14ac:dyDescent="0.2">
      <c r="A65" t="s">
        <v>110</v>
      </c>
      <c r="B65" s="1" t="s">
        <v>111</v>
      </c>
    </row>
    <row r="66" spans="1:2" x14ac:dyDescent="0.2">
      <c r="A66" t="s">
        <v>112</v>
      </c>
      <c r="B66" s="1" t="s">
        <v>113</v>
      </c>
    </row>
    <row r="67" spans="1:2" x14ac:dyDescent="0.2">
      <c r="A67" t="s">
        <v>114</v>
      </c>
      <c r="B67" s="1" t="s">
        <v>115</v>
      </c>
    </row>
    <row r="68" spans="1:2" x14ac:dyDescent="0.2">
      <c r="A68" t="s">
        <v>116</v>
      </c>
      <c r="B68" s="1" t="s">
        <v>117</v>
      </c>
    </row>
    <row r="69" spans="1:2" x14ac:dyDescent="0.2">
      <c r="A69" t="s">
        <v>118</v>
      </c>
      <c r="B69" s="1" t="s">
        <v>119</v>
      </c>
    </row>
    <row r="70" spans="1:2" x14ac:dyDescent="0.2">
      <c r="A70" t="s">
        <v>120</v>
      </c>
      <c r="B70" s="1" t="s">
        <v>121</v>
      </c>
    </row>
    <row r="71" spans="1:2" x14ac:dyDescent="0.2">
      <c r="A71" t="s">
        <v>122</v>
      </c>
      <c r="B71" s="1" t="s">
        <v>121</v>
      </c>
    </row>
    <row r="72" spans="1:2" x14ac:dyDescent="0.2">
      <c r="A72" t="s">
        <v>123</v>
      </c>
      <c r="B72" s="1" t="s">
        <v>124</v>
      </c>
    </row>
    <row r="73" spans="1:2" x14ac:dyDescent="0.2">
      <c r="A73" t="s">
        <v>125</v>
      </c>
      <c r="B73" s="1" t="s">
        <v>126</v>
      </c>
    </row>
    <row r="74" spans="1:2" x14ac:dyDescent="0.2">
      <c r="A74" t="s">
        <v>127</v>
      </c>
      <c r="B74" s="1" t="s">
        <v>128</v>
      </c>
    </row>
    <row r="75" spans="1:2" x14ac:dyDescent="0.2">
      <c r="A75" t="s">
        <v>129</v>
      </c>
      <c r="B75" s="1" t="s">
        <v>130</v>
      </c>
    </row>
    <row r="76" spans="1:2" x14ac:dyDescent="0.2">
      <c r="A76" t="s">
        <v>131</v>
      </c>
      <c r="B76" s="1" t="s">
        <v>132</v>
      </c>
    </row>
    <row r="77" spans="1:2" x14ac:dyDescent="0.2">
      <c r="A77" t="s">
        <v>133</v>
      </c>
      <c r="B77" s="1" t="s">
        <v>134</v>
      </c>
    </row>
    <row r="78" spans="1:2" x14ac:dyDescent="0.2">
      <c r="A78" t="s">
        <v>135</v>
      </c>
      <c r="B78" s="1" t="s">
        <v>136</v>
      </c>
    </row>
    <row r="79" spans="1:2" x14ac:dyDescent="0.2">
      <c r="B79" s="1"/>
    </row>
    <row r="80" spans="1:2" x14ac:dyDescent="0.2">
      <c r="B80" s="1"/>
    </row>
  </sheetData>
  <phoneticPr fontId="1" type="noConversion"/>
  <hyperlinks>
    <hyperlink ref="A3" r:id="rId1" xr:uid="{9BA21164-28C1-4CD2-BF11-1BFE9CFBA894}"/>
    <hyperlink ref="A4" r:id="rId2" xr:uid="{9807C8F5-7B19-4070-820B-05933D2D168C}"/>
    <hyperlink ref="A5" r:id="rId3" xr:uid="{5BB9D058-4BFA-47DB-8B33-DBF613E501F3}"/>
    <hyperlink ref="A6" r:id="rId4" xr:uid="{394E7891-5CEA-43BC-9CF5-F4FBA03F445B}"/>
    <hyperlink ref="A7" r:id="rId5" xr:uid="{43F9EA67-6D30-4568-9D97-5AADB67574C8}"/>
    <hyperlink ref="A8" r:id="rId6" xr:uid="{1F1CD8CA-4B3E-40E6-B556-DC3678A17B72}"/>
    <hyperlink ref="A9" r:id="rId7" xr:uid="{109B4AEA-AE35-4A5D-A883-ABBA7FDA160D}"/>
    <hyperlink ref="A10" r:id="rId8" xr:uid="{946D0DDC-A07C-427E-92D3-1886F5A4EB94}"/>
    <hyperlink ref="A11" r:id="rId9" location="diff-bf160ca_x000a_00204f2ae4c100aabe57a1dfd" xr:uid="{2C77464B-31E4-4CD4-A652-29368D24C93B}"/>
    <hyperlink ref="A12" r:id="rId10" location="diff-bf160ca_x000a_00204f2ae4c100aabe57a1dfd" xr:uid="{7FE4B0BE-627F-4E71-A418-CCB72F4C3E57}"/>
    <hyperlink ref="A13" r:id="rId11" xr:uid="{83F2E8A6-614E-4D1D-A09D-5BFF28369DCE}"/>
    <hyperlink ref="A14" r:id="rId12" xr:uid="{4F7F8A9D-FEE7-4D37-A3D7-714654C6E2DF}"/>
    <hyperlink ref="A15" r:id="rId13" xr:uid="{AAC7A4B1-07C1-47C9-B832-2D36AB81F30D}"/>
    <hyperlink ref="A16" r:id="rId14" xr:uid="{113BA303-CD16-4E0B-8DFC-A88B3114577D}"/>
    <hyperlink ref="A17" r:id="rId15" xr:uid="{B5F964A0-45A5-4BF6-84AC-E4B59FEECE23}"/>
    <hyperlink ref="A18" r:id="rId16" xr:uid="{E75990BB-CA60-4653-8797-FEFD269C8A53}"/>
    <hyperlink ref="A19" r:id="rId17" xr:uid="{7B9EF581-B769-4AAE-9C4E-B47B7BA51D67}"/>
    <hyperlink ref="A20" r:id="rId18" xr:uid="{994F4EC9-F0AE-4CD7-A6F2-100ECA43F235}"/>
    <hyperlink ref="A21" r:id="rId19" xr:uid="{5B399EBC-7AEE-4734-ABAD-401C176E2EFE}"/>
    <hyperlink ref="A22" r:id="rId20" xr:uid="{A923D7CF-0FCD-4FE0-A8F6-A4B0B85C3724}"/>
    <hyperlink ref="A23" r:id="rId21" xr:uid="{5EF4705E-15E1-46D3-941B-11A2D8BF255E}"/>
    <hyperlink ref="A24" r:id="rId22" xr:uid="{997E8F53-D9B3-4C72-9A19-74696FF715DF}"/>
    <hyperlink ref="A25" r:id="rId23" xr:uid="{102C3426-CD39-4AB7-99EA-CF1BC4545E81}"/>
    <hyperlink ref="A26" r:id="rId24" location="18316928" xr:uid="{2F678B6E-3FC4-46CA-9369-1E8B0790FA1F}"/>
    <hyperlink ref="A27" r:id="rId25" xr:uid="{0B3A9FCD-BCF5-4065-9E34-5F73841E5539}"/>
    <hyperlink ref="A28" r:id="rId26" xr:uid="{B390F8FA-5259-4AAA-85F0-8ABD7B93DB68}"/>
    <hyperlink ref="A29" r:id="rId27" xr:uid="{DD2925E2-A938-4DF7-8120-CF664C89617F}"/>
    <hyperlink ref="A30" r:id="rId28" xr:uid="{00E5D4E4-A7FC-48D0-9BB6-A669C053658C}"/>
    <hyperlink ref="A31" r:id="rId29" xr:uid="{F5F93C6A-B985-4C1F-8664-D8AA0CC7E0AC}"/>
    <hyperlink ref="A32" r:id="rId30" xr:uid="{20E33D88-0D66-4BCD-9275-36FC899C30F7}"/>
    <hyperlink ref="A33" r:id="rId31" xr:uid="{583C8BD1-7E8D-4851-9E13-4EE1441AF076}"/>
    <hyperlink ref="A35" r:id="rId32" location="12742734" xr:uid="{89EE484B-9BD7-400E-A6A4-42A800396607}"/>
    <hyperlink ref="A36" r:id="rId33" xr:uid="{C0FFF4D4-F5FB-41EE-B7EC-48CCB6699295}"/>
    <hyperlink ref="A37" r:id="rId34" xr:uid="{3F6CC0DD-F686-40C1-9935-83FC9D86CA47}"/>
    <hyperlink ref="A38" r:id="rId35" xr:uid="{28A5FB76-3134-4ECE-82CF-CA182C4E5EA1}"/>
    <hyperlink ref="A39" r:id="rId36" xr:uid="{43306B2A-1DC0-467F-80E0-ACDCDF3911C3}"/>
    <hyperlink ref="A40" r:id="rId37" xr:uid="{908A2E9E-290B-47B4-86CA-31FFAC4E1819}"/>
    <hyperlink ref="A41" r:id="rId38" xr:uid="{B30DB7A0-7B44-418A-AE38-75C56BBE8359}"/>
    <hyperlink ref="A42" r:id="rId39" xr:uid="{E2ED259E-D9D4-46E1-88A5-C62E7F87AF84}"/>
    <hyperlink ref="A43" r:id="rId40" xr:uid="{42E38400-738D-4ABD-8FFE-51ED5C17BDAE}"/>
    <hyperlink ref="A44" r:id="rId41" xr:uid="{00897656-69DC-4075-8788-A4DDBC36DBFA}"/>
    <hyperlink ref="A45" r:id="rId42" xr:uid="{659DBEDC-A1B0-47BA-8C97-5037E0091BFC}"/>
    <hyperlink ref="A46" r:id="rId43" xr:uid="{121E1634-7DF2-44B5-BC19-55AE7FECA219}"/>
    <hyperlink ref="A47" r:id="rId44" xr:uid="{C7A5C369-744F-4D6D-AED9-CBFDEFD4B49F}"/>
    <hyperlink ref="A48" r:id="rId45" xr:uid="{4D495F6E-2FDE-4DDD-A1CE-4DB1865789AF}"/>
    <hyperlink ref="A49" r:id="rId46" xr:uid="{13A4E076-F318-413D-B7C2-C7A6ECC0B5CD}"/>
    <hyperlink ref="A50" r:id="rId47" xr:uid="{13990A6F-3B79-4897-9D86-8EB7CF7F5EC2}"/>
    <hyperlink ref="A51" r:id="rId48" xr:uid="{F0010705-1B90-40CC-BAD4-95F54E829825}"/>
    <hyperlink ref="A52" r:id="rId49" xr:uid="{EA4A1085-EB26-4BDF-A62A-EABFE8687B21}"/>
    <hyperlink ref="A53" r:id="rId50" xr:uid="{30E24DE9-83FA-4190-A101-A6624541E0B7}"/>
    <hyperlink ref="A54" r:id="rId51" xr:uid="{43C2A573-0EE6-4D17-9388-23F4AB67671E}"/>
    <hyperlink ref="A55" r:id="rId52" xr:uid="{DDB2071A-F203-47D3-8667-333A4AFCA0B4}"/>
    <hyperlink ref="A56" r:id="rId53" xr:uid="{15E23B73-42BC-445E-8FE6-66FE4CC3EEF7}"/>
    <hyperlink ref="A57" r:id="rId54" xr:uid="{B05F396D-9D16-4CEA-BFAA-AB2207D825E2}"/>
    <hyperlink ref="A58" r:id="rId55" xr:uid="{85A27000-6FF0-4283-8FFD-FFE96DBEBDC4}"/>
    <hyperlink ref="A59" r:id="rId56" xr:uid="{8340DD6C-8EBE-46E8-98BA-C83147931BCB}"/>
    <hyperlink ref="A60" r:id="rId57" xr:uid="{AE3BD978-B4D5-4579-A37D-410D14C25CBB}"/>
    <hyperlink ref="A61" r:id="rId58" xr:uid="{D2DFF1CC-23F6-46D6-A537-EDBA41EBB8DD}"/>
    <hyperlink ref="A62" r:id="rId59" xr:uid="{205C08C2-EED8-4EE3-86C5-330CE131E9CD}"/>
    <hyperlink ref="A63" r:id="rId60" xr:uid="{1BBD9454-3F65-44C2-9CAE-262724150072}"/>
    <hyperlink ref="A64" r:id="rId61" xr:uid="{8566E6CC-8F46-4BD0-93DE-595BC973BE8B}"/>
    <hyperlink ref="A65" r:id="rId62" xr:uid="{2499A22E-04CF-4C4D-9B63-DF515DF852AF}"/>
    <hyperlink ref="A66" r:id="rId63" xr:uid="{792C9EF0-5F81-4E49-9212-07450060D5FA}"/>
    <hyperlink ref="A67" r:id="rId64" xr:uid="{F822711E-0DC9-441A-A241-998A9E79A369}"/>
    <hyperlink ref="A68" r:id="rId65" xr:uid="{BADC5BEE-142B-4C39-8C8E-F5C9C2A14FD3}"/>
    <hyperlink ref="A69" r:id="rId66" xr:uid="{CE7B2581-9FAE-4A99-B3D8-251382CD93DD}"/>
    <hyperlink ref="A70" r:id="rId67" xr:uid="{1BAC7BC7-78BA-44A7-84F0-343C377A48DB}"/>
    <hyperlink ref="A71" r:id="rId68" xr:uid="{37CFE209-38D7-43A3-A145-786D7C4F0C0C}"/>
    <hyperlink ref="A72" r:id="rId69" xr:uid="{70824658-CDBB-4DCF-BE70-961BF70806FE}"/>
    <hyperlink ref="A73" r:id="rId70" xr:uid="{530958B0-61B6-4302-A61F-8492DE488CA4}"/>
    <hyperlink ref="A74" r:id="rId71" xr:uid="{9483F840-72ED-41C0-AC25-455AF508AEAC}"/>
    <hyperlink ref="A75" r:id="rId72" xr:uid="{D6674BA3-23D0-44D4-A4CC-D031EFD72ECB}"/>
    <hyperlink ref="A76" r:id="rId73" xr:uid="{5B9896AD-21B7-4C49-880B-E96BC2EE609F}"/>
    <hyperlink ref="A77" r:id="rId74" xr:uid="{FD5834B5-7AEE-4C14-9551-FBECBB5EA273}"/>
    <hyperlink ref="A78" r:id="rId75" xr:uid="{AEBBC6A7-0768-487A-AF4C-524D99EA47A5}"/>
  </hyperlinks>
  <pageMargins left="0.7" right="0.7" top="0.75" bottom="0.75" header="0.3" footer="0.3"/>
  <pageSetup paperSize="9" orientation="portrait" verticalDpi="0" r:id="rId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4182-98B1-43AE-8DA5-FD52D0D1DC65}">
  <dimension ref="A1:I130"/>
  <sheetViews>
    <sheetView workbookViewId="0">
      <selection activeCell="I4" sqref="I4"/>
    </sheetView>
  </sheetViews>
  <sheetFormatPr defaultRowHeight="14.25" x14ac:dyDescent="0.2"/>
  <cols>
    <col min="1" max="1" width="20.375" style="15" customWidth="1"/>
    <col min="2" max="2" width="20.5" customWidth="1"/>
    <col min="3" max="3" width="22.375" customWidth="1"/>
    <col min="4" max="4" width="17.5" customWidth="1"/>
    <col min="5" max="5" width="21.25" customWidth="1"/>
    <col min="6" max="6" width="21" customWidth="1"/>
  </cols>
  <sheetData>
    <row r="1" spans="1:9" x14ac:dyDescent="0.2">
      <c r="A1" s="16" t="s">
        <v>165</v>
      </c>
      <c r="B1" s="14" t="s">
        <v>166</v>
      </c>
      <c r="C1" s="14" t="s">
        <v>244</v>
      </c>
      <c r="D1" s="2" t="s">
        <v>245</v>
      </c>
      <c r="E1" s="2" t="s">
        <v>147</v>
      </c>
      <c r="F1" s="18" t="s">
        <v>167</v>
      </c>
      <c r="G1" s="3" t="s">
        <v>168</v>
      </c>
      <c r="H1" s="4"/>
      <c r="I1" s="3"/>
    </row>
    <row r="2" spans="1:9" x14ac:dyDescent="0.2">
      <c r="A2" s="17" t="s">
        <v>169</v>
      </c>
      <c r="B2" s="3" t="b">
        <v>1</v>
      </c>
      <c r="C2" s="5" t="s">
        <v>150</v>
      </c>
      <c r="D2" s="3" t="b">
        <v>1</v>
      </c>
      <c r="E2" s="5" t="s">
        <v>150</v>
      </c>
      <c r="F2" s="7" t="str">
        <f t="shared" ref="F2:F27" si="0">IF(G2="", IF(C2=E2,C2,"NO CONSENSUS"), G2)</f>
        <v>Alternative correct usage</v>
      </c>
      <c r="G2" s="7"/>
      <c r="H2" s="8"/>
      <c r="I2" s="3"/>
    </row>
    <row r="3" spans="1:9" x14ac:dyDescent="0.2">
      <c r="A3" s="17" t="s">
        <v>170</v>
      </c>
      <c r="B3" s="3" t="b">
        <v>1</v>
      </c>
      <c r="C3" s="5" t="s">
        <v>150</v>
      </c>
      <c r="D3" s="3" t="b">
        <v>1</v>
      </c>
      <c r="E3" s="5" t="s">
        <v>150</v>
      </c>
      <c r="F3" s="7" t="str">
        <f t="shared" si="0"/>
        <v>Alternative correct usage</v>
      </c>
      <c r="G3" s="3"/>
      <c r="H3" s="8"/>
      <c r="I3" s="3"/>
    </row>
    <row r="4" spans="1:9" x14ac:dyDescent="0.2">
      <c r="A4" s="17" t="s">
        <v>199</v>
      </c>
      <c r="B4" s="3" t="b">
        <v>1</v>
      </c>
      <c r="C4" s="5" t="s">
        <v>148</v>
      </c>
      <c r="D4" s="3" t="b">
        <v>1</v>
      </c>
      <c r="E4" s="5" t="s">
        <v>148</v>
      </c>
      <c r="F4" s="7" t="str">
        <f t="shared" si="0"/>
        <v>Not Sure</v>
      </c>
      <c r="G4" s="7"/>
      <c r="H4" s="4"/>
      <c r="I4" s="4"/>
    </row>
    <row r="5" spans="1:9" x14ac:dyDescent="0.2">
      <c r="A5" s="17" t="s">
        <v>200</v>
      </c>
      <c r="B5" s="3" t="b">
        <v>1</v>
      </c>
      <c r="C5" s="5" t="s">
        <v>148</v>
      </c>
      <c r="D5" s="3" t="b">
        <v>1</v>
      </c>
      <c r="E5" s="5" t="s">
        <v>148</v>
      </c>
      <c r="F5" s="7" t="str">
        <f t="shared" si="0"/>
        <v>Not Sure</v>
      </c>
      <c r="G5" s="7"/>
      <c r="H5" s="7"/>
      <c r="I5" s="4"/>
    </row>
    <row r="6" spans="1:9" x14ac:dyDescent="0.2">
      <c r="A6" s="17" t="s">
        <v>152</v>
      </c>
      <c r="B6" s="3" t="b">
        <v>1</v>
      </c>
      <c r="C6" s="5" t="s">
        <v>148</v>
      </c>
      <c r="D6" s="3" t="b">
        <v>1</v>
      </c>
      <c r="E6" s="5" t="s">
        <v>148</v>
      </c>
      <c r="F6" s="7" t="str">
        <f t="shared" si="0"/>
        <v>Not Sure</v>
      </c>
      <c r="G6" s="7"/>
      <c r="H6" s="4"/>
      <c r="I6" s="4"/>
    </row>
    <row r="7" spans="1:9" x14ac:dyDescent="0.2">
      <c r="A7" s="17" t="s">
        <v>153</v>
      </c>
      <c r="B7" s="3" t="b">
        <v>1</v>
      </c>
      <c r="C7" s="5" t="s">
        <v>148</v>
      </c>
      <c r="D7" s="3" t="b">
        <v>1</v>
      </c>
      <c r="E7" s="5" t="s">
        <v>148</v>
      </c>
      <c r="F7" s="7" t="str">
        <f t="shared" si="0"/>
        <v>Not Sure</v>
      </c>
      <c r="G7" s="7"/>
      <c r="H7" s="4"/>
      <c r="I7" s="4"/>
    </row>
    <row r="8" spans="1:9" x14ac:dyDescent="0.2">
      <c r="A8" s="17" t="s">
        <v>154</v>
      </c>
      <c r="B8" s="3" t="b">
        <v>1</v>
      </c>
      <c r="C8" s="5" t="s">
        <v>149</v>
      </c>
      <c r="D8" s="3" t="b">
        <v>1</v>
      </c>
      <c r="E8" s="5" t="s">
        <v>149</v>
      </c>
      <c r="F8" s="7" t="str">
        <f t="shared" si="0"/>
        <v>Different Usage</v>
      </c>
      <c r="G8" s="7"/>
      <c r="H8" s="4"/>
      <c r="I8" s="4"/>
    </row>
    <row r="9" spans="1:9" x14ac:dyDescent="0.2">
      <c r="A9" s="17" t="s">
        <v>155</v>
      </c>
      <c r="B9" s="3" t="b">
        <v>1</v>
      </c>
      <c r="C9" s="5" t="s">
        <v>149</v>
      </c>
      <c r="D9" s="3" t="b">
        <v>1</v>
      </c>
      <c r="E9" s="5" t="s">
        <v>149</v>
      </c>
      <c r="F9" s="7" t="str">
        <f t="shared" si="0"/>
        <v>Different Usage</v>
      </c>
      <c r="G9" s="7"/>
      <c r="H9" s="4"/>
      <c r="I9" s="4"/>
    </row>
    <row r="10" spans="1:9" x14ac:dyDescent="0.2">
      <c r="A10" s="17" t="s">
        <v>156</v>
      </c>
      <c r="B10" s="3" t="b">
        <v>1</v>
      </c>
      <c r="C10" s="5" t="s">
        <v>151</v>
      </c>
      <c r="D10" s="3" t="b">
        <v>1</v>
      </c>
      <c r="E10" s="5" t="s">
        <v>151</v>
      </c>
      <c r="F10" s="7" t="str">
        <f t="shared" si="0"/>
        <v>Correct Misuse</v>
      </c>
      <c r="G10" s="7"/>
      <c r="H10" s="4"/>
      <c r="I10" s="4"/>
    </row>
    <row r="11" spans="1:9" x14ac:dyDescent="0.2">
      <c r="A11" s="17" t="s">
        <v>157</v>
      </c>
      <c r="B11" s="3" t="b">
        <v>1</v>
      </c>
      <c r="C11" s="5" t="s">
        <v>149</v>
      </c>
      <c r="D11" s="3" t="b">
        <v>1</v>
      </c>
      <c r="E11" s="5" t="s">
        <v>149</v>
      </c>
      <c r="F11" s="7" t="str">
        <f t="shared" si="0"/>
        <v>Different Usage</v>
      </c>
      <c r="G11" s="7"/>
      <c r="H11" s="4"/>
      <c r="I11" s="4"/>
    </row>
    <row r="12" spans="1:9" x14ac:dyDescent="0.2">
      <c r="A12" s="17" t="s">
        <v>158</v>
      </c>
      <c r="B12" s="3" t="b">
        <v>1</v>
      </c>
      <c r="C12" s="5" t="s">
        <v>149</v>
      </c>
      <c r="D12" s="3" t="b">
        <v>1</v>
      </c>
      <c r="E12" s="5" t="s">
        <v>149</v>
      </c>
      <c r="F12" s="7" t="str">
        <f t="shared" si="0"/>
        <v>Different Usage</v>
      </c>
      <c r="G12" s="7"/>
      <c r="H12" s="4"/>
      <c r="I12" s="4"/>
    </row>
    <row r="13" spans="1:9" x14ac:dyDescent="0.2">
      <c r="A13" s="17" t="s">
        <v>159</v>
      </c>
      <c r="B13" s="3" t="b">
        <v>1</v>
      </c>
      <c r="C13" s="5" t="s">
        <v>149</v>
      </c>
      <c r="D13" s="3" t="b">
        <v>1</v>
      </c>
      <c r="E13" s="5" t="s">
        <v>149</v>
      </c>
      <c r="F13" s="7" t="str">
        <f t="shared" si="0"/>
        <v>Different Usage</v>
      </c>
      <c r="G13" s="7"/>
      <c r="H13" s="4"/>
      <c r="I13" s="4"/>
    </row>
    <row r="14" spans="1:9" x14ac:dyDescent="0.2">
      <c r="A14" s="17" t="s">
        <v>160</v>
      </c>
      <c r="B14" s="3" t="b">
        <v>1</v>
      </c>
      <c r="C14" s="5" t="s">
        <v>150</v>
      </c>
      <c r="D14" s="3" t="b">
        <v>1</v>
      </c>
      <c r="E14" s="5" t="s">
        <v>150</v>
      </c>
      <c r="F14" s="7" t="str">
        <f t="shared" si="0"/>
        <v>Alternative correct usage</v>
      </c>
      <c r="G14" s="7"/>
      <c r="H14" s="4"/>
      <c r="I14" s="4"/>
    </row>
    <row r="15" spans="1:9" x14ac:dyDescent="0.2">
      <c r="A15" s="17" t="s">
        <v>161</v>
      </c>
      <c r="B15" s="3" t="b">
        <v>1</v>
      </c>
      <c r="C15" s="5" t="s">
        <v>150</v>
      </c>
      <c r="D15" s="3" t="b">
        <v>1</v>
      </c>
      <c r="E15" s="5" t="s">
        <v>150</v>
      </c>
      <c r="F15" s="7" t="str">
        <f t="shared" si="0"/>
        <v>Alternative correct usage</v>
      </c>
      <c r="G15" s="7"/>
      <c r="H15" s="4"/>
      <c r="I15" s="4"/>
    </row>
    <row r="16" spans="1:9" x14ac:dyDescent="0.2">
      <c r="A16" s="17" t="s">
        <v>162</v>
      </c>
      <c r="B16" s="3" t="b">
        <v>1</v>
      </c>
      <c r="C16" s="5" t="s">
        <v>149</v>
      </c>
      <c r="D16" s="3" t="b">
        <v>1</v>
      </c>
      <c r="E16" s="5" t="s">
        <v>149</v>
      </c>
      <c r="F16" s="7" t="str">
        <f t="shared" si="0"/>
        <v>Different Usage</v>
      </c>
      <c r="G16" s="7"/>
      <c r="H16" s="4"/>
      <c r="I16" s="4"/>
    </row>
    <row r="17" spans="1:9" x14ac:dyDescent="0.2">
      <c r="A17" s="17" t="s">
        <v>163</v>
      </c>
      <c r="B17" s="3" t="b">
        <v>1</v>
      </c>
      <c r="C17" s="5" t="s">
        <v>148</v>
      </c>
      <c r="D17" s="3" t="b">
        <v>1</v>
      </c>
      <c r="E17" s="5" t="s">
        <v>148</v>
      </c>
      <c r="F17" s="7" t="str">
        <f t="shared" si="0"/>
        <v>Not Sure</v>
      </c>
      <c r="G17" s="7"/>
      <c r="H17" s="4"/>
      <c r="I17" s="4"/>
    </row>
    <row r="18" spans="1:9" x14ac:dyDescent="0.2">
      <c r="A18" s="17" t="s">
        <v>201</v>
      </c>
      <c r="B18" s="3" t="b">
        <v>1</v>
      </c>
      <c r="C18" s="5" t="s">
        <v>150</v>
      </c>
      <c r="D18" s="3" t="b">
        <v>1</v>
      </c>
      <c r="E18" s="5" t="s">
        <v>149</v>
      </c>
      <c r="F18" s="7" t="str">
        <f t="shared" si="0"/>
        <v>Different Usage</v>
      </c>
      <c r="G18" s="3" t="s">
        <v>149</v>
      </c>
      <c r="H18" s="4"/>
      <c r="I18" s="4"/>
    </row>
    <row r="19" spans="1:9" x14ac:dyDescent="0.2">
      <c r="A19" s="17" t="s">
        <v>202</v>
      </c>
      <c r="B19" s="3" t="b">
        <v>1</v>
      </c>
      <c r="C19" s="5" t="s">
        <v>149</v>
      </c>
      <c r="D19" s="3" t="b">
        <v>1</v>
      </c>
      <c r="E19" s="5" t="s">
        <v>149</v>
      </c>
      <c r="F19" s="7" t="str">
        <f t="shared" si="0"/>
        <v>Different Usage</v>
      </c>
      <c r="G19" s="7"/>
      <c r="H19" s="4"/>
      <c r="I19" s="4"/>
    </row>
    <row r="20" spans="1:9" x14ac:dyDescent="0.2">
      <c r="A20" s="17" t="s">
        <v>203</v>
      </c>
      <c r="B20" s="3" t="b">
        <v>1</v>
      </c>
      <c r="C20" s="5" t="s">
        <v>148</v>
      </c>
      <c r="D20" s="3" t="b">
        <v>1</v>
      </c>
      <c r="E20" s="5" t="s">
        <v>148</v>
      </c>
      <c r="F20" s="7" t="str">
        <f t="shared" si="0"/>
        <v>Not Sure</v>
      </c>
      <c r="G20" s="7"/>
      <c r="H20" s="4"/>
      <c r="I20" s="4"/>
    </row>
    <row r="21" spans="1:9" x14ac:dyDescent="0.2">
      <c r="A21" s="17" t="s">
        <v>204</v>
      </c>
      <c r="B21" s="3" t="b">
        <v>1</v>
      </c>
      <c r="C21" s="5" t="s">
        <v>149</v>
      </c>
      <c r="D21" s="3" t="b">
        <v>1</v>
      </c>
      <c r="E21" s="5" t="s">
        <v>149</v>
      </c>
      <c r="F21" s="7" t="str">
        <f t="shared" si="0"/>
        <v>Different Usage</v>
      </c>
      <c r="G21" s="7"/>
      <c r="H21" s="4"/>
      <c r="I21" s="4"/>
    </row>
    <row r="22" spans="1:9" x14ac:dyDescent="0.2">
      <c r="A22" s="17" t="s">
        <v>205</v>
      </c>
      <c r="B22" s="3" t="b">
        <v>1</v>
      </c>
      <c r="C22" s="5" t="s">
        <v>148</v>
      </c>
      <c r="D22" s="3" t="b">
        <v>1</v>
      </c>
      <c r="E22" s="5" t="s">
        <v>148</v>
      </c>
      <c r="F22" s="7" t="str">
        <f t="shared" si="0"/>
        <v>Not Sure</v>
      </c>
      <c r="G22" s="7"/>
      <c r="H22" s="4"/>
      <c r="I22" s="4"/>
    </row>
    <row r="23" spans="1:9" x14ac:dyDescent="0.2">
      <c r="A23" s="17" t="s">
        <v>206</v>
      </c>
      <c r="B23" s="3" t="b">
        <v>1</v>
      </c>
      <c r="C23" s="5" t="s">
        <v>148</v>
      </c>
      <c r="D23" s="3" t="b">
        <v>1</v>
      </c>
      <c r="E23" s="5" t="s">
        <v>148</v>
      </c>
      <c r="F23" s="7" t="str">
        <f t="shared" si="0"/>
        <v>Not Sure</v>
      </c>
      <c r="G23" s="7"/>
      <c r="H23" s="4"/>
      <c r="I23" s="4"/>
    </row>
    <row r="24" spans="1:9" x14ac:dyDescent="0.2">
      <c r="A24" s="17" t="s">
        <v>207</v>
      </c>
      <c r="B24" s="3" t="b">
        <v>1</v>
      </c>
      <c r="C24" s="5" t="s">
        <v>150</v>
      </c>
      <c r="D24" s="3" t="b">
        <v>1</v>
      </c>
      <c r="E24" s="5" t="s">
        <v>150</v>
      </c>
      <c r="F24" s="7" t="str">
        <f t="shared" si="0"/>
        <v>Alternative correct usage</v>
      </c>
      <c r="G24" s="7"/>
      <c r="H24" s="4"/>
      <c r="I24" s="4"/>
    </row>
    <row r="25" spans="1:9" x14ac:dyDescent="0.2">
      <c r="A25" s="17" t="s">
        <v>208</v>
      </c>
      <c r="B25" s="3" t="b">
        <v>1</v>
      </c>
      <c r="C25" s="5" t="s">
        <v>150</v>
      </c>
      <c r="D25" s="3" t="b">
        <v>1</v>
      </c>
      <c r="E25" s="5" t="s">
        <v>150</v>
      </c>
      <c r="F25" s="7" t="str">
        <f t="shared" si="0"/>
        <v>Alternative correct usage</v>
      </c>
      <c r="G25" s="7"/>
      <c r="H25" s="4"/>
      <c r="I25" s="4"/>
    </row>
    <row r="26" spans="1:9" x14ac:dyDescent="0.2">
      <c r="A26" s="17" t="s">
        <v>209</v>
      </c>
      <c r="B26" s="3" t="b">
        <v>1</v>
      </c>
      <c r="C26" s="5" t="s">
        <v>150</v>
      </c>
      <c r="D26" s="3" t="b">
        <v>1</v>
      </c>
      <c r="E26" s="5" t="s">
        <v>150</v>
      </c>
      <c r="F26" s="7" t="str">
        <f t="shared" si="0"/>
        <v>Alternative correct usage</v>
      </c>
      <c r="G26" s="7"/>
      <c r="H26" s="4"/>
      <c r="I26" s="4"/>
    </row>
    <row r="27" spans="1:9" x14ac:dyDescent="0.2">
      <c r="A27" s="17" t="s">
        <v>210</v>
      </c>
      <c r="B27" s="3" t="b">
        <v>1</v>
      </c>
      <c r="C27" s="5" t="s">
        <v>148</v>
      </c>
      <c r="D27" s="3" t="b">
        <v>1</v>
      </c>
      <c r="E27" s="5" t="s">
        <v>149</v>
      </c>
      <c r="F27" s="7" t="str">
        <f t="shared" si="0"/>
        <v>Not Sure</v>
      </c>
      <c r="G27" s="3" t="s">
        <v>148</v>
      </c>
      <c r="H27" s="4"/>
      <c r="I27" s="4"/>
    </row>
    <row r="28" spans="1:9" x14ac:dyDescent="0.2">
      <c r="A28" s="17" t="s">
        <v>211</v>
      </c>
      <c r="B28" s="3" t="b">
        <v>1</v>
      </c>
      <c r="C28" s="5" t="s">
        <v>150</v>
      </c>
      <c r="D28" s="3" t="b">
        <v>0</v>
      </c>
      <c r="E28" s="6"/>
      <c r="F28" s="7"/>
      <c r="G28" s="7"/>
      <c r="H28" s="4"/>
      <c r="I28" s="4"/>
    </row>
    <row r="29" spans="1:9" x14ac:dyDescent="0.2">
      <c r="A29" s="17" t="s">
        <v>212</v>
      </c>
      <c r="B29" s="3" t="b">
        <v>1</v>
      </c>
      <c r="C29" s="5" t="s">
        <v>151</v>
      </c>
      <c r="D29" s="3" t="b">
        <v>0</v>
      </c>
      <c r="E29" s="6"/>
      <c r="F29" s="7" t="e">
        <f>IF(G29="", IF(C29=#REF!,C29,"NO CONSENSUS"),G29)</f>
        <v>#REF!</v>
      </c>
      <c r="G29" s="7"/>
      <c r="H29" s="4"/>
      <c r="I29" s="4"/>
    </row>
    <row r="30" spans="1:9" x14ac:dyDescent="0.2">
      <c r="A30" s="17" t="s">
        <v>213</v>
      </c>
      <c r="B30" s="3" t="b">
        <v>1</v>
      </c>
      <c r="C30" s="5" t="s">
        <v>149</v>
      </c>
      <c r="D30" s="3" t="b">
        <v>0</v>
      </c>
      <c r="E30" s="6"/>
      <c r="F30" s="7" t="e">
        <f>IF(G30="", IF(C30=#REF!,C30,"NO CONSENSUS"),G30)</f>
        <v>#REF!</v>
      </c>
      <c r="G30" s="7"/>
      <c r="H30" s="4"/>
      <c r="I30" s="4"/>
    </row>
    <row r="31" spans="1:9" x14ac:dyDescent="0.2">
      <c r="A31" s="17" t="s">
        <v>214</v>
      </c>
      <c r="B31" s="3" t="b">
        <v>1</v>
      </c>
      <c r="C31" s="5" t="s">
        <v>149</v>
      </c>
      <c r="D31" s="3" t="b">
        <v>0</v>
      </c>
      <c r="E31" s="6"/>
      <c r="F31" s="7" t="e">
        <f>IF(G31="", IF(C31=#REF!,C31,"NO CONSENSUS"),G31)</f>
        <v>#REF!</v>
      </c>
      <c r="G31" s="7"/>
      <c r="H31" s="4"/>
      <c r="I31" s="4"/>
    </row>
    <row r="32" spans="1:9" x14ac:dyDescent="0.2">
      <c r="A32" s="17" t="s">
        <v>215</v>
      </c>
      <c r="B32" s="3" t="b">
        <v>1</v>
      </c>
      <c r="C32" s="5" t="s">
        <v>148</v>
      </c>
      <c r="D32" s="3" t="b">
        <v>0</v>
      </c>
      <c r="E32" s="6"/>
      <c r="F32" s="7" t="e">
        <f>IF(G32="", IF(C32=#REF!,C32,"NO CONSENSUS"),G32)</f>
        <v>#REF!</v>
      </c>
      <c r="G32" s="7"/>
      <c r="H32" s="4"/>
      <c r="I32" s="4"/>
    </row>
    <row r="33" spans="1:9" x14ac:dyDescent="0.2">
      <c r="A33" s="17" t="s">
        <v>216</v>
      </c>
      <c r="B33" s="3" t="b">
        <v>1</v>
      </c>
      <c r="C33" s="5" t="s">
        <v>149</v>
      </c>
      <c r="D33" s="3" t="b">
        <v>0</v>
      </c>
      <c r="E33" s="6"/>
      <c r="F33" s="7" t="str">
        <f>IF(G33="", IF(C33=#REF!,C33,"NO CONSENSUS"),G33)</f>
        <v>Different Usage</v>
      </c>
      <c r="G33" s="3" t="s">
        <v>149</v>
      </c>
      <c r="H33" s="4"/>
      <c r="I33" s="4"/>
    </row>
    <row r="34" spans="1:9" x14ac:dyDescent="0.2">
      <c r="A34" s="17" t="s">
        <v>216</v>
      </c>
      <c r="B34" s="3" t="b">
        <v>1</v>
      </c>
      <c r="C34" s="5" t="s">
        <v>148</v>
      </c>
      <c r="D34" s="3" t="b">
        <v>0</v>
      </c>
      <c r="E34" s="6"/>
      <c r="F34" s="7" t="e">
        <f>IF(G34="", IF(C34=#REF!,C34,"NO CONSENSUS"),G34)</f>
        <v>#REF!</v>
      </c>
      <c r="G34" s="7"/>
      <c r="H34" s="4"/>
      <c r="I34" s="4"/>
    </row>
    <row r="35" spans="1:9" x14ac:dyDescent="0.2">
      <c r="A35" s="17" t="s">
        <v>217</v>
      </c>
      <c r="B35" s="3" t="b">
        <v>1</v>
      </c>
      <c r="C35" s="5" t="s">
        <v>149</v>
      </c>
      <c r="D35" s="3" t="b">
        <v>0</v>
      </c>
      <c r="E35" s="6"/>
      <c r="F35" s="7" t="e">
        <f>IF(G35="", IF(C35=#REF!,C35,"NO CONSENSUS"),G35)</f>
        <v>#REF!</v>
      </c>
      <c r="G35" s="7"/>
      <c r="H35" s="4"/>
      <c r="I35" s="4"/>
    </row>
    <row r="36" spans="1:9" x14ac:dyDescent="0.2">
      <c r="A36" s="17" t="s">
        <v>218</v>
      </c>
      <c r="B36" s="3" t="b">
        <v>1</v>
      </c>
      <c r="C36" s="5" t="s">
        <v>148</v>
      </c>
      <c r="D36" s="3" t="b">
        <v>0</v>
      </c>
      <c r="E36" s="6"/>
      <c r="F36" s="7" t="e">
        <f>IF(G36="", IF(C36=#REF!,C36,"NO CONSENSUS"),G36)</f>
        <v>#REF!</v>
      </c>
      <c r="G36" s="7"/>
      <c r="H36" s="4"/>
      <c r="I36" s="4"/>
    </row>
    <row r="37" spans="1:9" x14ac:dyDescent="0.2">
      <c r="A37" s="17" t="s">
        <v>235</v>
      </c>
      <c r="B37" s="3" t="b">
        <v>1</v>
      </c>
      <c r="C37" s="5" t="s">
        <v>148</v>
      </c>
      <c r="D37" s="3" t="b">
        <v>0</v>
      </c>
      <c r="E37" s="6"/>
      <c r="F37" s="7" t="e">
        <f>IF(G37="", IF(C37=#REF!,C37,"NO CONSENSUS"),G37)</f>
        <v>#REF!</v>
      </c>
      <c r="G37" s="7"/>
      <c r="H37" s="4"/>
      <c r="I37" s="4"/>
    </row>
    <row r="38" spans="1:9" x14ac:dyDescent="0.2">
      <c r="A38" s="17" t="s">
        <v>234</v>
      </c>
      <c r="B38" s="3" t="b">
        <v>1</v>
      </c>
      <c r="C38" s="5" t="s">
        <v>150</v>
      </c>
      <c r="D38" s="3" t="b">
        <v>0</v>
      </c>
      <c r="E38" s="6"/>
      <c r="F38" s="7" t="e">
        <f>IF(G38="", IF(C38=#REF!,C38,"NO CONSENSUS"),G38)</f>
        <v>#REF!</v>
      </c>
      <c r="G38" s="7"/>
      <c r="H38" s="4"/>
      <c r="I38" s="4"/>
    </row>
    <row r="39" spans="1:9" x14ac:dyDescent="0.2">
      <c r="A39" s="17" t="s">
        <v>233</v>
      </c>
      <c r="B39" s="3" t="b">
        <v>1</v>
      </c>
      <c r="C39" s="5" t="s">
        <v>148</v>
      </c>
      <c r="D39" s="3" t="b">
        <v>0</v>
      </c>
      <c r="E39" s="6"/>
      <c r="F39" s="7" t="e">
        <f>IF(G39="", IF(C39=#REF!,C39,"NO CONSENSUS"),G39)</f>
        <v>#REF!</v>
      </c>
      <c r="G39" s="7"/>
      <c r="H39" s="4"/>
      <c r="I39" s="4"/>
    </row>
    <row r="40" spans="1:9" x14ac:dyDescent="0.2">
      <c r="A40" s="17" t="s">
        <v>232</v>
      </c>
      <c r="B40" s="3" t="b">
        <v>1</v>
      </c>
      <c r="C40" s="5" t="s">
        <v>149</v>
      </c>
      <c r="D40" s="3" t="b">
        <v>0</v>
      </c>
      <c r="E40" s="6"/>
      <c r="F40" s="7" t="e">
        <f>IF(G40="", IF(C40=#REF!,C40,"NO CONSENSUS"),G40)</f>
        <v>#REF!</v>
      </c>
      <c r="G40" s="7"/>
      <c r="H40" s="4"/>
      <c r="I40" s="4"/>
    </row>
    <row r="41" spans="1:9" x14ac:dyDescent="0.2">
      <c r="A41" s="17" t="s">
        <v>231</v>
      </c>
      <c r="B41" s="3" t="b">
        <v>1</v>
      </c>
      <c r="C41" s="5" t="s">
        <v>148</v>
      </c>
      <c r="D41" s="3" t="b">
        <v>0</v>
      </c>
      <c r="E41" s="6"/>
      <c r="F41" s="7" t="e">
        <f>IF(G41="", IF(C41=#REF!,C41,"NO CONSENSUS"),G41)</f>
        <v>#REF!</v>
      </c>
      <c r="G41" s="7"/>
      <c r="H41" s="4"/>
      <c r="I41" s="4"/>
    </row>
    <row r="42" spans="1:9" x14ac:dyDescent="0.2">
      <c r="A42" s="17" t="s">
        <v>230</v>
      </c>
      <c r="B42" s="3" t="b">
        <v>1</v>
      </c>
      <c r="C42" s="5" t="s">
        <v>150</v>
      </c>
      <c r="D42" s="3" t="b">
        <v>0</v>
      </c>
      <c r="E42" s="6"/>
      <c r="F42" s="7" t="e">
        <f>IF(G42="", IF(C42=#REF!,C42,"NO CONSENSUS"),G42)</f>
        <v>#REF!</v>
      </c>
      <c r="G42" s="7"/>
      <c r="H42" s="4"/>
      <c r="I42" s="4"/>
    </row>
    <row r="43" spans="1:9" x14ac:dyDescent="0.2">
      <c r="A43" s="17" t="s">
        <v>229</v>
      </c>
      <c r="B43" s="3" t="b">
        <v>1</v>
      </c>
      <c r="C43" s="5" t="s">
        <v>149</v>
      </c>
      <c r="D43" s="3" t="b">
        <v>0</v>
      </c>
      <c r="E43" s="6"/>
      <c r="F43" s="7" t="e">
        <f>IF(G43="", IF(C43=#REF!,C43,"NO CONSENSUS"),G43)</f>
        <v>#REF!</v>
      </c>
      <c r="G43" s="3"/>
      <c r="H43" s="3"/>
      <c r="I43" s="3"/>
    </row>
    <row r="44" spans="1:9" x14ac:dyDescent="0.2">
      <c r="A44" s="17" t="s">
        <v>228</v>
      </c>
      <c r="B44" s="3" t="b">
        <v>1</v>
      </c>
      <c r="C44" s="5" t="s">
        <v>148</v>
      </c>
      <c r="D44" s="3" t="b">
        <v>0</v>
      </c>
      <c r="E44" s="6"/>
      <c r="F44" s="7" t="e">
        <f>IF(G44="", IF(C44=#REF!,C44,"NO CONSENSUS"),G44)</f>
        <v>#REF!</v>
      </c>
      <c r="G44" s="7"/>
      <c r="H44" s="4"/>
      <c r="I44" s="4"/>
    </row>
    <row r="45" spans="1:9" x14ac:dyDescent="0.2">
      <c r="A45" s="17" t="s">
        <v>227</v>
      </c>
      <c r="B45" s="3" t="b">
        <v>1</v>
      </c>
      <c r="C45" s="5" t="s">
        <v>148</v>
      </c>
      <c r="D45" s="3" t="b">
        <v>0</v>
      </c>
      <c r="E45" s="6"/>
      <c r="F45" s="7" t="e">
        <f>IF(G45="", IF(C45=#REF!,C45,"NO CONSENSUS"),G45)</f>
        <v>#REF!</v>
      </c>
      <c r="G45" s="7"/>
      <c r="H45" s="4"/>
      <c r="I45" s="4"/>
    </row>
    <row r="46" spans="1:9" x14ac:dyDescent="0.2">
      <c r="A46" s="17" t="s">
        <v>226</v>
      </c>
      <c r="B46" s="3" t="b">
        <v>1</v>
      </c>
      <c r="C46" s="5" t="s">
        <v>149</v>
      </c>
      <c r="D46" s="3" t="b">
        <v>0</v>
      </c>
      <c r="E46" s="6"/>
      <c r="F46" s="7" t="e">
        <f>IF(G46="", IF(C46=#REF!,C46,"NO CONSENSUS"),G46)</f>
        <v>#REF!</v>
      </c>
      <c r="G46" s="7"/>
      <c r="H46" s="4"/>
      <c r="I46" s="4"/>
    </row>
    <row r="47" spans="1:9" x14ac:dyDescent="0.2">
      <c r="A47" s="17" t="s">
        <v>236</v>
      </c>
      <c r="B47" s="3" t="b">
        <v>1</v>
      </c>
      <c r="C47" s="5" t="s">
        <v>149</v>
      </c>
      <c r="D47" s="3" t="b">
        <v>0</v>
      </c>
      <c r="E47" s="6"/>
      <c r="F47" s="7" t="e">
        <f>IF(G47="", IF(C47=#REF!,C47,"NO CONSENSUS"),G47)</f>
        <v>#REF!</v>
      </c>
      <c r="G47" s="7"/>
      <c r="H47" s="4"/>
      <c r="I47" s="4"/>
    </row>
    <row r="48" spans="1:9" x14ac:dyDescent="0.2">
      <c r="A48" s="17" t="s">
        <v>225</v>
      </c>
      <c r="B48" s="3" t="b">
        <v>1</v>
      </c>
      <c r="C48" s="5" t="s">
        <v>149</v>
      </c>
      <c r="D48" s="3" t="b">
        <v>0</v>
      </c>
      <c r="E48" s="6"/>
      <c r="F48" s="7" t="e">
        <f>IF(G48="", IF(C48=#REF!,C48,"NO CONSENSUS"),G48)</f>
        <v>#REF!</v>
      </c>
      <c r="G48" s="7"/>
      <c r="H48" s="4"/>
      <c r="I48" s="4"/>
    </row>
    <row r="49" spans="1:9" x14ac:dyDescent="0.2">
      <c r="A49" s="17" t="s">
        <v>237</v>
      </c>
      <c r="B49" s="3" t="b">
        <v>1</v>
      </c>
      <c r="C49" s="5" t="s">
        <v>149</v>
      </c>
      <c r="D49" s="3" t="b">
        <v>0</v>
      </c>
      <c r="E49" s="6"/>
      <c r="F49" s="7" t="e">
        <f>IF(G49="", IF(C49=#REF!,C49,"NO CONSENSUS"),G49)</f>
        <v>#REF!</v>
      </c>
      <c r="G49" s="7"/>
      <c r="H49" s="4"/>
      <c r="I49" s="4"/>
    </row>
    <row r="50" spans="1:9" x14ac:dyDescent="0.2">
      <c r="A50" s="17" t="s">
        <v>238</v>
      </c>
      <c r="B50" s="3" t="b">
        <v>1</v>
      </c>
      <c r="C50" s="5" t="s">
        <v>148</v>
      </c>
      <c r="D50" s="3" t="b">
        <v>0</v>
      </c>
      <c r="E50" s="6"/>
      <c r="F50" s="7" t="e">
        <f>IF(G50="", IF(C50=#REF!,C50,"NO CONSENSUS"),G50)</f>
        <v>#REF!</v>
      </c>
      <c r="G50" s="7"/>
      <c r="H50" s="4"/>
      <c r="I50" s="4"/>
    </row>
    <row r="51" spans="1:9" x14ac:dyDescent="0.2">
      <c r="A51" s="17" t="s">
        <v>239</v>
      </c>
      <c r="B51" s="3" t="b">
        <v>1</v>
      </c>
      <c r="C51" s="5" t="s">
        <v>150</v>
      </c>
      <c r="D51" s="3" t="b">
        <v>0</v>
      </c>
      <c r="E51" s="6"/>
      <c r="F51" s="7" t="e">
        <f>IF(G51="", IF(C51=#REF!,C51,"NO CONSENSUS"),G51)</f>
        <v>#REF!</v>
      </c>
      <c r="G51" s="7"/>
      <c r="H51" s="4"/>
      <c r="I51" s="4"/>
    </row>
    <row r="52" spans="1:9" x14ac:dyDescent="0.2">
      <c r="A52" s="17" t="s">
        <v>240</v>
      </c>
      <c r="B52" s="3" t="b">
        <v>1</v>
      </c>
      <c r="C52" s="5" t="s">
        <v>148</v>
      </c>
      <c r="D52" s="3" t="b">
        <v>0</v>
      </c>
      <c r="E52" s="6"/>
      <c r="F52" s="7" t="str">
        <f>IF(G52="", IF(C52=#REF!,C52,"NO CONSENSUS"),G52)</f>
        <v>Not Sure</v>
      </c>
      <c r="G52" s="3" t="s">
        <v>148</v>
      </c>
      <c r="H52" s="4"/>
      <c r="I52" s="4"/>
    </row>
    <row r="53" spans="1:9" x14ac:dyDescent="0.2">
      <c r="A53" s="17" t="s">
        <v>241</v>
      </c>
      <c r="B53" s="3" t="b">
        <v>1</v>
      </c>
      <c r="C53" s="5" t="s">
        <v>149</v>
      </c>
      <c r="D53" s="3" t="b">
        <v>0</v>
      </c>
      <c r="E53" s="6"/>
      <c r="F53" s="7" t="e">
        <f>IF(G53="", IF(C53=#REF!,C53,"NO CONSENSUS"),G53)</f>
        <v>#REF!</v>
      </c>
      <c r="G53" s="7"/>
      <c r="H53" s="4"/>
      <c r="I53" s="4"/>
    </row>
    <row r="54" spans="1:9" x14ac:dyDescent="0.2">
      <c r="A54" s="17" t="s">
        <v>246</v>
      </c>
      <c r="B54" s="3" t="b">
        <v>1</v>
      </c>
      <c r="C54" s="5" t="s">
        <v>148</v>
      </c>
      <c r="D54" s="3" t="b">
        <v>0</v>
      </c>
      <c r="E54" s="6"/>
      <c r="F54" s="7" t="e">
        <f>IF(G54="", IF(C54=#REF!,C54,"NO CONSENSUS"),G54)</f>
        <v>#REF!</v>
      </c>
      <c r="G54" s="7"/>
      <c r="H54" s="4"/>
      <c r="I54" s="4"/>
    </row>
    <row r="55" spans="1:9" x14ac:dyDescent="0.2">
      <c r="A55" s="17" t="s">
        <v>247</v>
      </c>
      <c r="B55" s="3" t="b">
        <v>1</v>
      </c>
      <c r="C55" s="5" t="s">
        <v>149</v>
      </c>
      <c r="D55" s="3" t="b">
        <v>0</v>
      </c>
      <c r="E55" s="6"/>
      <c r="F55" s="7" t="e">
        <f>IF(G55="", IF(C55=#REF!,C55,"NO CONSENSUS"),G55)</f>
        <v>#REF!</v>
      </c>
      <c r="G55" s="7"/>
      <c r="H55" s="4"/>
      <c r="I55" s="4"/>
    </row>
    <row r="56" spans="1:9" x14ac:dyDescent="0.2">
      <c r="A56" s="17" t="s">
        <v>248</v>
      </c>
      <c r="B56" s="3" t="b">
        <v>1</v>
      </c>
      <c r="C56" s="5" t="s">
        <v>148</v>
      </c>
      <c r="D56" s="3" t="b">
        <v>1</v>
      </c>
      <c r="E56" s="5" t="s">
        <v>150</v>
      </c>
      <c r="F56" s="7" t="str">
        <f t="shared" ref="F56:F83" si="1">IF(G56="", IF(C56=E56,C56,"NO CONSENSUS"), G56)</f>
        <v>Alternative correct usage</v>
      </c>
      <c r="G56" s="3" t="s">
        <v>150</v>
      </c>
      <c r="H56" s="4"/>
      <c r="I56" s="4"/>
    </row>
    <row r="57" spans="1:9" x14ac:dyDescent="0.2">
      <c r="A57" s="17" t="s">
        <v>249</v>
      </c>
      <c r="B57" s="3" t="b">
        <v>1</v>
      </c>
      <c r="C57" s="5" t="s">
        <v>149</v>
      </c>
      <c r="D57" s="3" t="b">
        <v>1</v>
      </c>
      <c r="E57" s="5" t="s">
        <v>149</v>
      </c>
      <c r="F57" s="7" t="str">
        <f t="shared" si="1"/>
        <v>Different Usage</v>
      </c>
      <c r="G57" s="7"/>
      <c r="H57" s="4"/>
      <c r="I57" s="4"/>
    </row>
    <row r="58" spans="1:9" x14ac:dyDescent="0.2">
      <c r="A58" s="17" t="s">
        <v>250</v>
      </c>
      <c r="B58" s="3" t="b">
        <v>1</v>
      </c>
      <c r="C58" s="5" t="s">
        <v>149</v>
      </c>
      <c r="D58" s="3" t="b">
        <v>1</v>
      </c>
      <c r="E58" s="5" t="s">
        <v>149</v>
      </c>
      <c r="F58" s="7" t="str">
        <f t="shared" si="1"/>
        <v>Different Usage</v>
      </c>
      <c r="G58" s="7"/>
      <c r="H58" s="4"/>
      <c r="I58" s="4"/>
    </row>
    <row r="59" spans="1:9" x14ac:dyDescent="0.2">
      <c r="A59" s="17" t="s">
        <v>251</v>
      </c>
      <c r="B59" s="3" t="b">
        <v>1</v>
      </c>
      <c r="C59" s="5" t="s">
        <v>149</v>
      </c>
      <c r="D59" s="3" t="b">
        <v>1</v>
      </c>
      <c r="E59" s="5" t="s">
        <v>149</v>
      </c>
      <c r="F59" s="7" t="str">
        <f t="shared" si="1"/>
        <v>Different Usage</v>
      </c>
      <c r="G59" s="7"/>
      <c r="H59" s="4"/>
      <c r="I59" s="4"/>
    </row>
    <row r="60" spans="1:9" x14ac:dyDescent="0.2">
      <c r="A60" s="17" t="s">
        <v>252</v>
      </c>
      <c r="B60" s="3" t="b">
        <v>1</v>
      </c>
      <c r="C60" s="5" t="s">
        <v>149</v>
      </c>
      <c r="D60" s="3" t="b">
        <v>1</v>
      </c>
      <c r="E60" s="5" t="s">
        <v>149</v>
      </c>
      <c r="F60" s="7" t="str">
        <f t="shared" si="1"/>
        <v>Different Usage</v>
      </c>
      <c r="G60" s="7"/>
      <c r="H60" s="4"/>
      <c r="I60" s="4"/>
    </row>
    <row r="61" spans="1:9" x14ac:dyDescent="0.2">
      <c r="A61" s="17" t="s">
        <v>253</v>
      </c>
      <c r="B61" s="3" t="b">
        <v>1</v>
      </c>
      <c r="C61" s="5" t="s">
        <v>148</v>
      </c>
      <c r="D61" s="3" t="b">
        <v>1</v>
      </c>
      <c r="E61" s="5" t="s">
        <v>148</v>
      </c>
      <c r="F61" s="7" t="str">
        <f t="shared" si="1"/>
        <v>Not Sure</v>
      </c>
      <c r="G61" s="7"/>
      <c r="H61" s="4"/>
      <c r="I61" s="4"/>
    </row>
    <row r="62" spans="1:9" x14ac:dyDescent="0.2">
      <c r="A62" s="17" t="s">
        <v>254</v>
      </c>
      <c r="B62" s="3" t="b">
        <v>1</v>
      </c>
      <c r="C62" s="5" t="s">
        <v>148</v>
      </c>
      <c r="D62" s="3" t="b">
        <v>1</v>
      </c>
      <c r="E62" s="5" t="s">
        <v>148</v>
      </c>
      <c r="F62" s="7" t="str">
        <f t="shared" si="1"/>
        <v>Not Sure</v>
      </c>
      <c r="G62" s="7"/>
      <c r="H62" s="4"/>
      <c r="I62" s="4"/>
    </row>
    <row r="63" spans="1:9" x14ac:dyDescent="0.2">
      <c r="A63" s="17" t="s">
        <v>255</v>
      </c>
      <c r="B63" s="3" t="b">
        <v>1</v>
      </c>
      <c r="C63" s="5" t="s">
        <v>149</v>
      </c>
      <c r="D63" s="3" t="b">
        <v>1</v>
      </c>
      <c r="E63" s="5" t="s">
        <v>150</v>
      </c>
      <c r="F63" s="7" t="str">
        <f t="shared" si="1"/>
        <v>Different Usage</v>
      </c>
      <c r="G63" s="3" t="s">
        <v>149</v>
      </c>
      <c r="H63" s="4"/>
      <c r="I63" s="4"/>
    </row>
    <row r="64" spans="1:9" x14ac:dyDescent="0.2">
      <c r="A64" s="17" t="s">
        <v>256</v>
      </c>
      <c r="B64" s="3" t="b">
        <v>1</v>
      </c>
      <c r="C64" s="5" t="s">
        <v>149</v>
      </c>
      <c r="D64" s="3" t="b">
        <v>1</v>
      </c>
      <c r="E64" s="5" t="s">
        <v>150</v>
      </c>
      <c r="F64" s="7" t="str">
        <f t="shared" si="1"/>
        <v>Different Usage</v>
      </c>
      <c r="G64" s="3" t="s">
        <v>149</v>
      </c>
      <c r="H64" s="4"/>
      <c r="I64" s="4"/>
    </row>
    <row r="65" spans="1:9" x14ac:dyDescent="0.2">
      <c r="A65" s="17" t="s">
        <v>256</v>
      </c>
      <c r="B65" s="3" t="b">
        <v>1</v>
      </c>
      <c r="C65" s="5" t="s">
        <v>150</v>
      </c>
      <c r="D65" s="3" t="b">
        <v>1</v>
      </c>
      <c r="E65" s="5" t="s">
        <v>150</v>
      </c>
      <c r="F65" s="7" t="str">
        <f t="shared" si="1"/>
        <v>Alternative correct usage</v>
      </c>
      <c r="G65" s="7"/>
      <c r="H65" s="4"/>
      <c r="I65" s="4"/>
    </row>
    <row r="66" spans="1:9" x14ac:dyDescent="0.2">
      <c r="A66" s="17" t="s">
        <v>257</v>
      </c>
      <c r="B66" s="3" t="b">
        <v>1</v>
      </c>
      <c r="C66" s="5" t="s">
        <v>150</v>
      </c>
      <c r="D66" s="3" t="b">
        <v>1</v>
      </c>
      <c r="E66" s="5" t="s">
        <v>150</v>
      </c>
      <c r="F66" s="7" t="str">
        <f t="shared" si="1"/>
        <v>Alternative correct usage</v>
      </c>
      <c r="G66" s="7"/>
      <c r="H66" s="4"/>
      <c r="I66" s="4"/>
    </row>
    <row r="67" spans="1:9" x14ac:dyDescent="0.2">
      <c r="A67" s="17" t="s">
        <v>242</v>
      </c>
      <c r="B67" s="3" t="b">
        <v>1</v>
      </c>
      <c r="C67" s="5" t="s">
        <v>149</v>
      </c>
      <c r="D67" s="3" t="b">
        <v>1</v>
      </c>
      <c r="E67" s="5" t="s">
        <v>149</v>
      </c>
      <c r="F67" s="7" t="str">
        <f t="shared" si="1"/>
        <v>Different Usage</v>
      </c>
      <c r="G67" s="7"/>
      <c r="H67" s="4"/>
      <c r="I67" s="4"/>
    </row>
    <row r="68" spans="1:9" x14ac:dyDescent="0.2">
      <c r="A68" s="17" t="s">
        <v>258</v>
      </c>
      <c r="B68" s="3" t="b">
        <v>1</v>
      </c>
      <c r="C68" s="5" t="s">
        <v>148</v>
      </c>
      <c r="D68" s="3" t="b">
        <v>1</v>
      </c>
      <c r="E68" s="5" t="s">
        <v>148</v>
      </c>
      <c r="F68" s="7" t="str">
        <f t="shared" si="1"/>
        <v>Not Sure</v>
      </c>
      <c r="G68" s="7"/>
      <c r="H68" s="4"/>
      <c r="I68" s="4"/>
    </row>
    <row r="69" spans="1:9" x14ac:dyDescent="0.2">
      <c r="A69" s="17" t="s">
        <v>259</v>
      </c>
      <c r="B69" s="3" t="b">
        <v>1</v>
      </c>
      <c r="C69" s="5" t="s">
        <v>149</v>
      </c>
      <c r="D69" s="3" t="b">
        <v>1</v>
      </c>
      <c r="E69" s="5" t="s">
        <v>149</v>
      </c>
      <c r="F69" s="7" t="str">
        <f t="shared" si="1"/>
        <v>Different Usage</v>
      </c>
      <c r="G69" s="7"/>
      <c r="H69" s="4"/>
      <c r="I69" s="4"/>
    </row>
    <row r="70" spans="1:9" x14ac:dyDescent="0.2">
      <c r="A70" s="17" t="s">
        <v>260</v>
      </c>
      <c r="B70" s="3" t="b">
        <v>1</v>
      </c>
      <c r="C70" s="5" t="s">
        <v>148</v>
      </c>
      <c r="D70" s="3" t="b">
        <v>1</v>
      </c>
      <c r="E70" s="5" t="s">
        <v>148</v>
      </c>
      <c r="F70" s="7" t="str">
        <f t="shared" si="1"/>
        <v>Not Sure</v>
      </c>
      <c r="G70" s="7"/>
      <c r="H70" s="4"/>
      <c r="I70" s="4"/>
    </row>
    <row r="71" spans="1:9" x14ac:dyDescent="0.2">
      <c r="A71" s="17" t="s">
        <v>243</v>
      </c>
      <c r="B71" s="3" t="b">
        <v>1</v>
      </c>
      <c r="C71" s="5" t="s">
        <v>149</v>
      </c>
      <c r="D71" s="3" t="b">
        <v>1</v>
      </c>
      <c r="E71" s="5" t="s">
        <v>149</v>
      </c>
      <c r="F71" s="7" t="str">
        <f t="shared" si="1"/>
        <v>Different Usage</v>
      </c>
      <c r="G71" s="7"/>
      <c r="H71" s="4"/>
      <c r="I71" s="4"/>
    </row>
    <row r="72" spans="1:9" x14ac:dyDescent="0.2">
      <c r="A72" s="17" t="s">
        <v>261</v>
      </c>
      <c r="B72" s="3" t="b">
        <v>1</v>
      </c>
      <c r="C72" s="5" t="s">
        <v>148</v>
      </c>
      <c r="D72" s="3" t="b">
        <v>1</v>
      </c>
      <c r="E72" s="5" t="s">
        <v>148</v>
      </c>
      <c r="F72" s="7" t="str">
        <f t="shared" si="1"/>
        <v>Not Sure</v>
      </c>
      <c r="G72" s="7"/>
      <c r="H72" s="4"/>
      <c r="I72" s="4"/>
    </row>
    <row r="73" spans="1:9" x14ac:dyDescent="0.2">
      <c r="A73" s="17" t="s">
        <v>262</v>
      </c>
      <c r="B73" s="3" t="b">
        <v>1</v>
      </c>
      <c r="C73" s="5" t="s">
        <v>149</v>
      </c>
      <c r="D73" s="3" t="b">
        <v>1</v>
      </c>
      <c r="E73" s="5" t="s">
        <v>149</v>
      </c>
      <c r="F73" s="7" t="str">
        <f t="shared" si="1"/>
        <v>Different Usage</v>
      </c>
      <c r="G73" s="7"/>
      <c r="H73" s="4"/>
      <c r="I73" s="4"/>
    </row>
    <row r="74" spans="1:9" x14ac:dyDescent="0.2">
      <c r="A74" s="17" t="s">
        <v>263</v>
      </c>
      <c r="B74" s="3" t="b">
        <v>1</v>
      </c>
      <c r="C74" s="5" t="s">
        <v>148</v>
      </c>
      <c r="D74" s="3" t="b">
        <v>1</v>
      </c>
      <c r="E74" s="5" t="s">
        <v>148</v>
      </c>
      <c r="F74" s="7" t="str">
        <f t="shared" si="1"/>
        <v>Not Sure</v>
      </c>
      <c r="G74" s="7"/>
      <c r="H74" s="4"/>
      <c r="I74" s="4"/>
    </row>
    <row r="75" spans="1:9" x14ac:dyDescent="0.2">
      <c r="A75" s="17" t="s">
        <v>264</v>
      </c>
      <c r="B75" s="3" t="b">
        <v>1</v>
      </c>
      <c r="C75" s="5" t="s">
        <v>149</v>
      </c>
      <c r="D75" s="3" t="b">
        <v>1</v>
      </c>
      <c r="E75" s="5" t="s">
        <v>149</v>
      </c>
      <c r="F75" s="7" t="str">
        <f t="shared" si="1"/>
        <v>Different Usage</v>
      </c>
      <c r="G75" s="7"/>
      <c r="H75" s="4"/>
      <c r="I75" s="4"/>
    </row>
    <row r="76" spans="1:9" x14ac:dyDescent="0.2">
      <c r="A76" s="17" t="s">
        <v>265</v>
      </c>
      <c r="B76" s="3" t="b">
        <v>1</v>
      </c>
      <c r="C76" s="5" t="s">
        <v>149</v>
      </c>
      <c r="D76" s="3" t="b">
        <v>1</v>
      </c>
      <c r="E76" s="5" t="s">
        <v>149</v>
      </c>
      <c r="F76" s="7" t="str">
        <f t="shared" si="1"/>
        <v>Different Usage</v>
      </c>
      <c r="G76" s="7"/>
      <c r="H76" s="4"/>
      <c r="I76" s="4"/>
    </row>
    <row r="77" spans="1:9" x14ac:dyDescent="0.2">
      <c r="A77" s="17" t="s">
        <v>266</v>
      </c>
      <c r="B77" s="3" t="b">
        <v>1</v>
      </c>
      <c r="C77" s="5" t="s">
        <v>148</v>
      </c>
      <c r="D77" s="3" t="b">
        <v>1</v>
      </c>
      <c r="E77" s="5" t="s">
        <v>148</v>
      </c>
      <c r="F77" s="7" t="str">
        <f t="shared" si="1"/>
        <v>Not Sure</v>
      </c>
      <c r="G77" s="7"/>
      <c r="H77" s="4"/>
      <c r="I77" s="4"/>
    </row>
    <row r="78" spans="1:9" x14ac:dyDescent="0.2">
      <c r="A78" s="17" t="s">
        <v>267</v>
      </c>
      <c r="B78" s="3" t="b">
        <v>1</v>
      </c>
      <c r="C78" s="5" t="s">
        <v>149</v>
      </c>
      <c r="D78" s="3" t="b">
        <v>1</v>
      </c>
      <c r="E78" s="5" t="s">
        <v>149</v>
      </c>
      <c r="F78" s="7" t="str">
        <f t="shared" si="1"/>
        <v>Different Usage</v>
      </c>
      <c r="G78" s="7"/>
      <c r="H78" s="4"/>
      <c r="I78" s="4"/>
    </row>
    <row r="79" spans="1:9" x14ac:dyDescent="0.2">
      <c r="A79" s="17" t="s">
        <v>268</v>
      </c>
      <c r="B79" s="3" t="b">
        <v>1</v>
      </c>
      <c r="C79" s="5" t="s">
        <v>149</v>
      </c>
      <c r="D79" s="3" t="b">
        <v>1</v>
      </c>
      <c r="E79" s="5" t="s">
        <v>149</v>
      </c>
      <c r="F79" s="7" t="str">
        <f t="shared" si="1"/>
        <v>Different Usage</v>
      </c>
      <c r="G79" s="7"/>
      <c r="H79" s="4"/>
      <c r="I79" s="4"/>
    </row>
    <row r="80" spans="1:9" x14ac:dyDescent="0.2">
      <c r="A80" s="17" t="s">
        <v>269</v>
      </c>
      <c r="B80" s="3" t="b">
        <v>1</v>
      </c>
      <c r="C80" s="5" t="s">
        <v>148</v>
      </c>
      <c r="D80" s="3" t="b">
        <v>1</v>
      </c>
      <c r="E80" s="5" t="s">
        <v>148</v>
      </c>
      <c r="F80" s="7" t="str">
        <f t="shared" si="1"/>
        <v>Not Sure</v>
      </c>
      <c r="G80" s="7"/>
      <c r="H80" s="4"/>
      <c r="I80" s="4"/>
    </row>
    <row r="81" spans="1:9" x14ac:dyDescent="0.2">
      <c r="A81" s="17" t="s">
        <v>270</v>
      </c>
      <c r="B81" s="3" t="b">
        <v>1</v>
      </c>
      <c r="C81" s="5" t="s">
        <v>148</v>
      </c>
      <c r="D81" s="3" t="b">
        <v>1</v>
      </c>
      <c r="E81" s="5" t="s">
        <v>148</v>
      </c>
      <c r="F81" s="7" t="str">
        <f t="shared" si="1"/>
        <v>Not Sure</v>
      </c>
      <c r="G81" s="7"/>
      <c r="H81" s="4"/>
      <c r="I81" s="4"/>
    </row>
    <row r="82" spans="1:9" x14ac:dyDescent="0.2">
      <c r="A82" s="17" t="s">
        <v>271</v>
      </c>
      <c r="B82" s="3" t="b">
        <v>1</v>
      </c>
      <c r="C82" s="5" t="s">
        <v>149</v>
      </c>
      <c r="D82" s="3" t="b">
        <v>1</v>
      </c>
      <c r="E82" s="5" t="s">
        <v>150</v>
      </c>
      <c r="F82" s="7" t="str">
        <f t="shared" si="1"/>
        <v>Different Usage</v>
      </c>
      <c r="G82" s="3" t="s">
        <v>149</v>
      </c>
      <c r="H82" s="4"/>
      <c r="I82" s="4"/>
    </row>
    <row r="83" spans="1:9" x14ac:dyDescent="0.2">
      <c r="A83" s="17" t="s">
        <v>272</v>
      </c>
      <c r="B83" s="3" t="b">
        <v>1</v>
      </c>
      <c r="C83" s="5" t="s">
        <v>149</v>
      </c>
      <c r="D83" s="3" t="b">
        <v>1</v>
      </c>
      <c r="E83" s="5" t="s">
        <v>150</v>
      </c>
      <c r="F83" s="7" t="str">
        <f t="shared" si="1"/>
        <v>Different Usage</v>
      </c>
      <c r="G83" s="3" t="s">
        <v>149</v>
      </c>
      <c r="H83" s="4"/>
      <c r="I83" s="4"/>
    </row>
    <row r="84" spans="1:9" x14ac:dyDescent="0.2">
      <c r="A84" s="17" t="s">
        <v>273</v>
      </c>
      <c r="B84" s="3" t="b">
        <v>0</v>
      </c>
      <c r="C84" s="6"/>
      <c r="D84" s="3" t="b">
        <v>1</v>
      </c>
      <c r="E84" s="5" t="s">
        <v>150</v>
      </c>
      <c r="F84" s="7" t="e">
        <f>IF(G84="",IF(E84=#REF!,E84,"NO CONSENSUS"),G84)</f>
        <v>#REF!</v>
      </c>
      <c r="G84" s="7"/>
      <c r="H84" s="4"/>
      <c r="I84" s="4"/>
    </row>
    <row r="85" spans="1:9" x14ac:dyDescent="0.2">
      <c r="A85" s="17" t="s">
        <v>274</v>
      </c>
      <c r="B85" s="3" t="b">
        <v>0</v>
      </c>
      <c r="C85" s="6"/>
      <c r="D85" s="3" t="b">
        <v>1</v>
      </c>
      <c r="E85" s="5" t="s">
        <v>148</v>
      </c>
      <c r="F85" s="7" t="str">
        <f>IF(G85="",IF(E85=#REF!,E85,"NO CONSENSUS"),G85)</f>
        <v>Not Sure</v>
      </c>
      <c r="G85" s="3" t="s">
        <v>148</v>
      </c>
      <c r="H85" s="4"/>
      <c r="I85" s="4"/>
    </row>
    <row r="86" spans="1:9" x14ac:dyDescent="0.2">
      <c r="A86" s="17" t="s">
        <v>275</v>
      </c>
      <c r="B86" s="3" t="b">
        <v>0</v>
      </c>
      <c r="C86" s="6"/>
      <c r="D86" s="3" t="b">
        <v>1</v>
      </c>
      <c r="E86" s="5" t="s">
        <v>148</v>
      </c>
      <c r="F86" s="7" t="e">
        <f>IF(G86="",IF(E86=#REF!,E86,"NO CONSENSUS"),G86)</f>
        <v>#REF!</v>
      </c>
      <c r="G86" s="7"/>
      <c r="H86" s="4"/>
      <c r="I86" s="4"/>
    </row>
    <row r="87" spans="1:9" x14ac:dyDescent="0.2">
      <c r="A87" s="17" t="s">
        <v>276</v>
      </c>
      <c r="B87" s="3" t="b">
        <v>0</v>
      </c>
      <c r="C87" s="6"/>
      <c r="D87" s="3" t="b">
        <v>1</v>
      </c>
      <c r="E87" s="5" t="s">
        <v>148</v>
      </c>
      <c r="F87" s="7" t="str">
        <f>IF(G87="",IF(E87=#REF!,E87,"NO CONSENSUS"),G87)</f>
        <v>Not Sure</v>
      </c>
      <c r="G87" s="3" t="s">
        <v>148</v>
      </c>
      <c r="H87" s="4"/>
      <c r="I87" s="4"/>
    </row>
    <row r="88" spans="1:9" x14ac:dyDescent="0.2">
      <c r="A88" s="17" t="s">
        <v>284</v>
      </c>
      <c r="B88" s="3" t="b">
        <v>0</v>
      </c>
      <c r="C88" s="6"/>
      <c r="D88" s="3" t="b">
        <v>1</v>
      </c>
      <c r="E88" s="5" t="s">
        <v>148</v>
      </c>
      <c r="F88" s="7" t="str">
        <f>IF(G88="",IF(E88=#REF!,E88,"NO CONSENSUS"),G88)</f>
        <v>Not Sure</v>
      </c>
      <c r="G88" s="3" t="s">
        <v>148</v>
      </c>
      <c r="H88" s="4"/>
      <c r="I88" s="4"/>
    </row>
    <row r="89" spans="1:9" x14ac:dyDescent="0.2">
      <c r="A89" s="17" t="s">
        <v>164</v>
      </c>
      <c r="B89" s="3" t="b">
        <v>0</v>
      </c>
      <c r="C89" s="6"/>
      <c r="D89" s="3" t="b">
        <v>1</v>
      </c>
      <c r="E89" s="5" t="s">
        <v>150</v>
      </c>
      <c r="F89" s="7" t="e">
        <f>IF(G89="",IF(E89=#REF!,E89,"NO CONSENSUS"),G89)</f>
        <v>#REF!</v>
      </c>
      <c r="G89" s="7"/>
      <c r="H89" s="4"/>
      <c r="I89" s="4"/>
    </row>
    <row r="90" spans="1:9" x14ac:dyDescent="0.2">
      <c r="A90" s="17" t="s">
        <v>280</v>
      </c>
      <c r="B90" s="3" t="b">
        <v>0</v>
      </c>
      <c r="C90" s="6"/>
      <c r="D90" s="3" t="b">
        <v>1</v>
      </c>
      <c r="E90" s="5" t="s">
        <v>150</v>
      </c>
      <c r="F90" s="7" t="e">
        <f>IF(G90="",IF(E90=#REF!,E90,"NO CONSENSUS"),G90)</f>
        <v>#REF!</v>
      </c>
      <c r="G90" s="7"/>
      <c r="H90" s="4"/>
      <c r="I90" s="4"/>
    </row>
    <row r="91" spans="1:9" x14ac:dyDescent="0.2">
      <c r="A91" s="17" t="s">
        <v>279</v>
      </c>
      <c r="B91" s="3" t="b">
        <v>0</v>
      </c>
      <c r="C91" s="6"/>
      <c r="D91" s="3" t="b">
        <v>1</v>
      </c>
      <c r="E91" s="5" t="s">
        <v>149</v>
      </c>
      <c r="F91" s="7" t="str">
        <f>IF(G91="",IF(E91=#REF!,E91,"NO CONSENSUS"),G91)</f>
        <v>Different Usage</v>
      </c>
      <c r="G91" s="3" t="s">
        <v>149</v>
      </c>
      <c r="H91" s="4"/>
      <c r="I91" s="4"/>
    </row>
    <row r="92" spans="1:9" x14ac:dyDescent="0.2">
      <c r="A92" s="17" t="s">
        <v>278</v>
      </c>
      <c r="B92" s="3" t="b">
        <v>0</v>
      </c>
      <c r="C92" s="6"/>
      <c r="D92" s="3" t="b">
        <v>1</v>
      </c>
      <c r="E92" s="5" t="s">
        <v>149</v>
      </c>
      <c r="F92" s="7" t="e">
        <f>IF(G92="",IF(E92=#REF!,E92,"NO CONSENSUS"),G92)</f>
        <v>#REF!</v>
      </c>
      <c r="G92" s="7"/>
      <c r="H92" s="4"/>
      <c r="I92" s="4"/>
    </row>
    <row r="93" spans="1:9" x14ac:dyDescent="0.2">
      <c r="A93" s="17" t="s">
        <v>277</v>
      </c>
      <c r="B93" s="3" t="b">
        <v>0</v>
      </c>
      <c r="C93" s="6"/>
      <c r="D93" s="3" t="b">
        <v>1</v>
      </c>
      <c r="E93" s="5" t="s">
        <v>149</v>
      </c>
      <c r="F93" s="7" t="e">
        <f>IF(G93="",IF(E93=#REF!,E93,"NO CONSENSUS"),G93)</f>
        <v>#REF!</v>
      </c>
      <c r="G93" s="7"/>
      <c r="H93" s="4"/>
      <c r="I93" s="4"/>
    </row>
    <row r="94" spans="1:9" x14ac:dyDescent="0.2">
      <c r="A94" s="17" t="s">
        <v>281</v>
      </c>
      <c r="B94" s="3" t="b">
        <v>0</v>
      </c>
      <c r="C94" s="6"/>
      <c r="D94" s="3" t="b">
        <v>1</v>
      </c>
      <c r="E94" s="5" t="s">
        <v>149</v>
      </c>
      <c r="F94" s="7" t="str">
        <f>IF(G94="",IF(E94=#REF!,E94,"NO CONSENSUS"),G94)</f>
        <v>Not Sure</v>
      </c>
      <c r="G94" s="3" t="s">
        <v>148</v>
      </c>
      <c r="H94" s="4"/>
      <c r="I94" s="4"/>
    </row>
    <row r="95" spans="1:9" x14ac:dyDescent="0.2">
      <c r="A95" s="17" t="s">
        <v>283</v>
      </c>
      <c r="B95" s="3" t="b">
        <v>0</v>
      </c>
      <c r="C95" s="6"/>
      <c r="D95" s="3" t="b">
        <v>1</v>
      </c>
      <c r="E95" s="5" t="s">
        <v>149</v>
      </c>
      <c r="F95" s="7" t="e">
        <f>IF(G95="",IF(E95=#REF!,E95,"NO CONSENSUS"),G95)</f>
        <v>#REF!</v>
      </c>
      <c r="G95" s="7"/>
      <c r="H95" s="4"/>
      <c r="I95" s="4"/>
    </row>
    <row r="96" spans="1:9" x14ac:dyDescent="0.2">
      <c r="A96" s="17" t="s">
        <v>282</v>
      </c>
      <c r="B96" s="3" t="b">
        <v>0</v>
      </c>
      <c r="C96" s="6"/>
      <c r="D96" s="3" t="b">
        <v>1</v>
      </c>
      <c r="E96" s="5" t="s">
        <v>151</v>
      </c>
      <c r="F96" s="7" t="str">
        <f>IF(G96="",IF(E96=#REF!,E96,"NO CONSENSUS"),G96)</f>
        <v>Correct Misuse</v>
      </c>
      <c r="G96" s="3" t="s">
        <v>151</v>
      </c>
      <c r="H96" s="4"/>
      <c r="I96" s="4"/>
    </row>
    <row r="97" spans="1:9" x14ac:dyDescent="0.2">
      <c r="A97" s="17" t="s">
        <v>198</v>
      </c>
      <c r="B97" s="3" t="b">
        <v>0</v>
      </c>
      <c r="C97" s="6"/>
      <c r="D97" s="3" t="b">
        <v>1</v>
      </c>
      <c r="E97" s="5" t="s">
        <v>149</v>
      </c>
      <c r="F97" s="7" t="e">
        <f>IF(G97="",IF(E97=#REF!,E97,"NO CONSENSUS"),G97)</f>
        <v>#REF!</v>
      </c>
      <c r="G97" s="7"/>
      <c r="H97" s="4"/>
      <c r="I97" s="4"/>
    </row>
    <row r="98" spans="1:9" x14ac:dyDescent="0.2">
      <c r="A98" s="17" t="s">
        <v>197</v>
      </c>
      <c r="B98" s="3" t="b">
        <v>0</v>
      </c>
      <c r="C98" s="6"/>
      <c r="D98" s="3" t="b">
        <v>1</v>
      </c>
      <c r="E98" s="5" t="s">
        <v>148</v>
      </c>
      <c r="F98" s="7" t="e">
        <f>IF(G98="",IF(E98=#REF!,E98,"NO CONSENSUS"),G98)</f>
        <v>#REF!</v>
      </c>
      <c r="G98" s="7"/>
      <c r="H98" s="4"/>
      <c r="I98" s="4"/>
    </row>
    <row r="99" spans="1:9" x14ac:dyDescent="0.2">
      <c r="A99" s="17" t="s">
        <v>196</v>
      </c>
      <c r="B99" s="3" t="b">
        <v>0</v>
      </c>
      <c r="C99" s="6"/>
      <c r="D99" s="3" t="b">
        <v>1</v>
      </c>
      <c r="E99" s="5" t="s">
        <v>149</v>
      </c>
      <c r="F99" s="7" t="str">
        <f>IF(G99="",IF(E99=#REF!,E99,"NO CONSENSUS"),G99)</f>
        <v>Different Usage</v>
      </c>
      <c r="G99" s="3" t="s">
        <v>149</v>
      </c>
      <c r="H99" s="4"/>
      <c r="I99" s="4"/>
    </row>
    <row r="100" spans="1:9" x14ac:dyDescent="0.2">
      <c r="A100" s="17" t="s">
        <v>195</v>
      </c>
      <c r="B100" s="3" t="b">
        <v>0</v>
      </c>
      <c r="C100" s="6"/>
      <c r="D100" s="3" t="b">
        <v>1</v>
      </c>
      <c r="E100" s="5" t="s">
        <v>148</v>
      </c>
      <c r="F100" s="7" t="e">
        <f>IF(G100="",IF(E100=#REF!,E100,"NO CONSENSUS"),G100)</f>
        <v>#REF!</v>
      </c>
      <c r="G100" s="7"/>
      <c r="H100" s="4"/>
      <c r="I100" s="4"/>
    </row>
    <row r="101" spans="1:9" x14ac:dyDescent="0.2">
      <c r="A101" s="17" t="s">
        <v>194</v>
      </c>
      <c r="B101" s="3" t="b">
        <v>0</v>
      </c>
      <c r="C101" s="6"/>
      <c r="D101" s="3" t="b">
        <v>1</v>
      </c>
      <c r="E101" s="5" t="s">
        <v>148</v>
      </c>
      <c r="F101" s="7" t="e">
        <f>IF(G101="",IF(E101=#REF!,E101,"NO CONSENSUS"),G101)</f>
        <v>#REF!</v>
      </c>
      <c r="G101" s="7"/>
      <c r="H101" s="4"/>
      <c r="I101" s="4"/>
    </row>
    <row r="102" spans="1:9" x14ac:dyDescent="0.2">
      <c r="A102" s="17" t="s">
        <v>193</v>
      </c>
      <c r="B102" s="3" t="b">
        <v>0</v>
      </c>
      <c r="C102" s="6"/>
      <c r="D102" s="3" t="b">
        <v>1</v>
      </c>
      <c r="E102" s="5" t="s">
        <v>149</v>
      </c>
      <c r="F102" s="7" t="e">
        <f>IF(G102="",IF(E102=#REF!,E102,"NO CONSENSUS"),G102)</f>
        <v>#REF!</v>
      </c>
      <c r="G102" s="7"/>
      <c r="H102" s="4"/>
      <c r="I102" s="4"/>
    </row>
    <row r="103" spans="1:9" x14ac:dyDescent="0.2">
      <c r="A103" s="17" t="s">
        <v>192</v>
      </c>
      <c r="B103" s="3" t="b">
        <v>0</v>
      </c>
      <c r="C103" s="6"/>
      <c r="D103" s="3" t="b">
        <v>1</v>
      </c>
      <c r="E103" s="5" t="s">
        <v>148</v>
      </c>
      <c r="F103" s="7" t="e">
        <f>IF(G103="",IF(E103=#REF!,E103,"NO CONSENSUS"),G103)</f>
        <v>#REF!</v>
      </c>
      <c r="G103" s="7"/>
      <c r="H103" s="4"/>
      <c r="I103" s="4"/>
    </row>
    <row r="104" spans="1:9" x14ac:dyDescent="0.2">
      <c r="A104" s="17" t="s">
        <v>191</v>
      </c>
      <c r="B104" s="3" t="b">
        <v>0</v>
      </c>
      <c r="C104" s="6"/>
      <c r="D104" s="3" t="b">
        <v>1</v>
      </c>
      <c r="E104" s="5" t="s">
        <v>149</v>
      </c>
      <c r="F104" s="7" t="e">
        <f>IF(G104="",IF(E104=#REF!,E104,"NO CONSENSUS"),G104)</f>
        <v>#REF!</v>
      </c>
      <c r="G104" s="7"/>
      <c r="H104" s="4"/>
      <c r="I104" s="4"/>
    </row>
    <row r="105" spans="1:9" x14ac:dyDescent="0.2">
      <c r="A105" s="17" t="s">
        <v>190</v>
      </c>
      <c r="B105" s="3" t="b">
        <v>1</v>
      </c>
      <c r="C105" s="5" t="s">
        <v>148</v>
      </c>
      <c r="D105" s="3" t="b">
        <v>0</v>
      </c>
      <c r="E105" s="6"/>
      <c r="F105" s="7" t="e">
        <f>IF(G105="", IF(C105=#REF!,C105,"NO CONSENSUS"),G105)</f>
        <v>#REF!</v>
      </c>
      <c r="G105" s="7"/>
      <c r="H105" s="4"/>
      <c r="I105" s="4"/>
    </row>
    <row r="106" spans="1:9" x14ac:dyDescent="0.2">
      <c r="A106" s="17" t="s">
        <v>189</v>
      </c>
      <c r="B106" s="3" t="b">
        <v>1</v>
      </c>
      <c r="C106" s="5" t="s">
        <v>148</v>
      </c>
      <c r="D106" s="3" t="b">
        <v>0</v>
      </c>
      <c r="E106" s="6"/>
      <c r="F106" s="7" t="e">
        <f>IF(G106="", IF(C106=#REF!,C106,"NO CONSENSUS"),G106)</f>
        <v>#REF!</v>
      </c>
      <c r="G106" s="7"/>
      <c r="H106" s="4"/>
      <c r="I106" s="4"/>
    </row>
    <row r="107" spans="1:9" x14ac:dyDescent="0.2">
      <c r="A107" s="17" t="s">
        <v>188</v>
      </c>
      <c r="B107" s="3" t="b">
        <v>1</v>
      </c>
      <c r="C107" s="5" t="s">
        <v>148</v>
      </c>
      <c r="D107" s="3" t="b">
        <v>0</v>
      </c>
      <c r="E107" s="6"/>
      <c r="F107" s="7" t="e">
        <f>IF(G107="", IF(C107=#REF!,C107,"NO CONSENSUS"),G107)</f>
        <v>#REF!</v>
      </c>
      <c r="G107" s="7"/>
      <c r="H107" s="4"/>
      <c r="I107" s="4"/>
    </row>
    <row r="108" spans="1:9" x14ac:dyDescent="0.2">
      <c r="A108" s="17" t="s">
        <v>187</v>
      </c>
      <c r="B108" s="3" t="b">
        <v>1</v>
      </c>
      <c r="C108" s="5" t="s">
        <v>148</v>
      </c>
      <c r="D108" s="3" t="b">
        <v>0</v>
      </c>
      <c r="E108" s="6"/>
      <c r="F108" s="7" t="e">
        <f>IF(G108="", IF(C108=#REF!,C108,"NO CONSENSUS"),G108)</f>
        <v>#REF!</v>
      </c>
      <c r="G108" s="7"/>
      <c r="H108" s="4"/>
      <c r="I108" s="4"/>
    </row>
    <row r="109" spans="1:9" x14ac:dyDescent="0.2">
      <c r="A109" s="17" t="s">
        <v>186</v>
      </c>
      <c r="B109" s="3" t="b">
        <v>1</v>
      </c>
      <c r="C109" s="5" t="s">
        <v>148</v>
      </c>
      <c r="D109" s="3" t="b">
        <v>0</v>
      </c>
      <c r="E109" s="6"/>
      <c r="F109" s="7" t="e">
        <f>IF(G109="", IF(C109=#REF!,C109,"NO CONSENSUS"),G109)</f>
        <v>#REF!</v>
      </c>
      <c r="G109" s="7"/>
      <c r="H109" s="4"/>
      <c r="I109" s="4"/>
    </row>
    <row r="110" spans="1:9" x14ac:dyDescent="0.2">
      <c r="A110" s="17" t="s">
        <v>185</v>
      </c>
      <c r="B110" s="3" t="b">
        <v>1</v>
      </c>
      <c r="C110" s="5" t="s">
        <v>148</v>
      </c>
      <c r="D110" s="3" t="b">
        <v>0</v>
      </c>
      <c r="E110" s="6"/>
      <c r="F110" s="7" t="e">
        <f>IF(G110="", IF(C110=#REF!,C110,"NO CONSENSUS"),G110)</f>
        <v>#REF!</v>
      </c>
      <c r="G110" s="7"/>
      <c r="H110" s="4"/>
      <c r="I110" s="4"/>
    </row>
    <row r="111" spans="1:9" x14ac:dyDescent="0.2">
      <c r="A111" s="17" t="s">
        <v>184</v>
      </c>
      <c r="B111" s="3" t="b">
        <v>1</v>
      </c>
      <c r="C111" s="5" t="s">
        <v>148</v>
      </c>
      <c r="D111" s="3" t="b">
        <v>0</v>
      </c>
      <c r="E111" s="6"/>
      <c r="F111" s="7" t="e">
        <f>IF(G111="", IF(C111=#REF!,C111,"NO CONSENSUS"),G111)</f>
        <v>#REF!</v>
      </c>
      <c r="G111" s="7"/>
      <c r="H111" s="4"/>
      <c r="I111" s="4"/>
    </row>
    <row r="112" spans="1:9" x14ac:dyDescent="0.2">
      <c r="A112" s="17" t="s">
        <v>183</v>
      </c>
      <c r="B112" s="3" t="b">
        <v>1</v>
      </c>
      <c r="C112" s="5" t="s">
        <v>149</v>
      </c>
      <c r="D112" s="3" t="b">
        <v>0</v>
      </c>
      <c r="E112" s="6"/>
      <c r="F112" s="7" t="e">
        <f>IF(G112="", IF(C112=#REF!,C112,"NO CONSENSUS"),G112)</f>
        <v>#REF!</v>
      </c>
      <c r="G112" s="7"/>
      <c r="H112" s="4"/>
      <c r="I112" s="4"/>
    </row>
    <row r="113" spans="1:9" x14ac:dyDescent="0.2">
      <c r="A113" s="17" t="s">
        <v>182</v>
      </c>
      <c r="B113" s="3" t="b">
        <v>1</v>
      </c>
      <c r="C113" s="5" t="s">
        <v>150</v>
      </c>
      <c r="D113" s="3" t="b">
        <v>0</v>
      </c>
      <c r="E113" s="6"/>
      <c r="F113" s="7" t="e">
        <f>IF(G113="", IF(C113=#REF!,C113,"NO CONSENSUS"),G113)</f>
        <v>#REF!</v>
      </c>
      <c r="G113" s="7"/>
      <c r="H113" s="4"/>
      <c r="I113" s="4"/>
    </row>
    <row r="114" spans="1:9" x14ac:dyDescent="0.2">
      <c r="A114" s="17" t="s">
        <v>181</v>
      </c>
      <c r="B114" s="3" t="b">
        <v>1</v>
      </c>
      <c r="C114" s="5" t="s">
        <v>148</v>
      </c>
      <c r="D114" s="3" t="b">
        <v>0</v>
      </c>
      <c r="E114" s="6"/>
      <c r="F114" s="7" t="e">
        <f>IF(G114="", IF(C114=#REF!,C114,"NO CONSENSUS"),G114)</f>
        <v>#REF!</v>
      </c>
      <c r="G114" s="7"/>
      <c r="H114" s="4"/>
      <c r="I114" s="4"/>
    </row>
    <row r="115" spans="1:9" x14ac:dyDescent="0.2">
      <c r="A115" s="17" t="s">
        <v>180</v>
      </c>
      <c r="B115" s="3" t="b">
        <v>1</v>
      </c>
      <c r="C115" s="5" t="s">
        <v>148</v>
      </c>
      <c r="D115" s="3" t="b">
        <v>0</v>
      </c>
      <c r="E115" s="6"/>
      <c r="F115" s="7" t="e">
        <f>IF(G115="", IF(C115=#REF!,C115,"NO CONSENSUS"),G115)</f>
        <v>#REF!</v>
      </c>
      <c r="G115" s="7"/>
      <c r="H115" s="4"/>
      <c r="I115" s="4"/>
    </row>
    <row r="116" spans="1:9" x14ac:dyDescent="0.2">
      <c r="A116" s="17" t="s">
        <v>179</v>
      </c>
      <c r="B116" s="3" t="b">
        <v>1</v>
      </c>
      <c r="C116" s="5" t="s">
        <v>148</v>
      </c>
      <c r="D116" s="3" t="b">
        <v>0</v>
      </c>
      <c r="E116" s="6"/>
      <c r="F116" s="7" t="e">
        <f>IF(G116="", IF(C116=#REF!,C116,"NO CONSENSUS"),G116)</f>
        <v>#REF!</v>
      </c>
      <c r="G116" s="7"/>
      <c r="H116" s="4"/>
      <c r="I116" s="4"/>
    </row>
    <row r="117" spans="1:9" x14ac:dyDescent="0.2">
      <c r="A117" s="17" t="s">
        <v>178</v>
      </c>
      <c r="B117" s="3" t="b">
        <v>1</v>
      </c>
      <c r="C117" s="5" t="s">
        <v>150</v>
      </c>
      <c r="D117" s="3" t="b">
        <v>0</v>
      </c>
      <c r="E117" s="6"/>
      <c r="F117" s="7" t="e">
        <f>IF(G117="", IF(C117=#REF!,C117,"NO CONSENSUS"),G117)</f>
        <v>#REF!</v>
      </c>
      <c r="G117" s="7"/>
      <c r="H117" s="4"/>
      <c r="I117" s="4"/>
    </row>
    <row r="118" spans="1:9" x14ac:dyDescent="0.2">
      <c r="A118" s="17" t="s">
        <v>177</v>
      </c>
      <c r="B118" s="3" t="b">
        <v>1</v>
      </c>
      <c r="C118" s="5" t="s">
        <v>150</v>
      </c>
      <c r="D118" s="3" t="b">
        <v>0</v>
      </c>
      <c r="E118" s="6"/>
      <c r="F118" s="7" t="e">
        <f>IF(G118="", IF(C118=#REF!,C118,"NO CONSENSUS"),G118)</f>
        <v>#REF!</v>
      </c>
      <c r="G118" s="7"/>
      <c r="H118" s="4"/>
      <c r="I118" s="4"/>
    </row>
    <row r="119" spans="1:9" x14ac:dyDescent="0.2">
      <c r="A119" s="17" t="s">
        <v>224</v>
      </c>
      <c r="B119" s="3" t="b">
        <v>1</v>
      </c>
      <c r="C119" s="5" t="s">
        <v>150</v>
      </c>
      <c r="D119" s="3" t="b">
        <v>0</v>
      </c>
      <c r="E119" s="6"/>
      <c r="F119" s="7" t="str">
        <f>IF(G119="", IF(C119=#REF!,C119,"NO CONSENSUS"),G119)</f>
        <v>Different Usage</v>
      </c>
      <c r="G119" s="3" t="s">
        <v>149</v>
      </c>
      <c r="H119" s="4"/>
      <c r="I119" s="4"/>
    </row>
    <row r="120" spans="1:9" x14ac:dyDescent="0.2">
      <c r="A120" s="17" t="s">
        <v>223</v>
      </c>
      <c r="B120" s="3" t="b">
        <v>1</v>
      </c>
      <c r="C120" s="5" t="s">
        <v>149</v>
      </c>
      <c r="D120" s="3" t="b">
        <v>0</v>
      </c>
      <c r="E120" s="6"/>
      <c r="F120" s="7" t="str">
        <f>IF(G120="", IF(C120=#REF!,C120,"NO CONSENSUS"),G120)</f>
        <v>Different Usage</v>
      </c>
      <c r="G120" s="3" t="s">
        <v>149</v>
      </c>
      <c r="H120" s="4"/>
      <c r="I120" s="4"/>
    </row>
    <row r="121" spans="1:9" x14ac:dyDescent="0.2">
      <c r="A121" s="17" t="s">
        <v>222</v>
      </c>
      <c r="B121" s="3" t="b">
        <v>1</v>
      </c>
      <c r="C121" s="5" t="s">
        <v>150</v>
      </c>
      <c r="D121" s="3" t="b">
        <v>0</v>
      </c>
      <c r="E121" s="6"/>
      <c r="F121" s="7" t="e">
        <f>IF(G121="", IF(C121=#REF!,C121,"NO CONSENSUS"),G121)</f>
        <v>#REF!</v>
      </c>
      <c r="G121" s="7"/>
      <c r="H121" s="4"/>
      <c r="I121" s="4"/>
    </row>
    <row r="122" spans="1:9" x14ac:dyDescent="0.2">
      <c r="A122" s="17" t="s">
        <v>221</v>
      </c>
      <c r="B122" s="3" t="b">
        <v>1</v>
      </c>
      <c r="C122" s="5" t="s">
        <v>150</v>
      </c>
      <c r="D122" s="3" t="b">
        <v>0</v>
      </c>
      <c r="E122" s="6"/>
      <c r="F122" s="7" t="e">
        <f>IF(G122="", IF(C122=#REF!,C122,"NO CONSENSUS"),G122)</f>
        <v>#REF!</v>
      </c>
      <c r="G122" s="7"/>
      <c r="H122" s="4"/>
      <c r="I122" s="4"/>
    </row>
    <row r="123" spans="1:9" x14ac:dyDescent="0.2">
      <c r="A123" s="17" t="s">
        <v>220</v>
      </c>
      <c r="B123" s="3" t="b">
        <v>1</v>
      </c>
      <c r="C123" s="5" t="s">
        <v>149</v>
      </c>
      <c r="D123" s="3" t="b">
        <v>0</v>
      </c>
      <c r="E123" s="6"/>
      <c r="F123" s="7" t="str">
        <f>IF(G123="", IF(C123=#REF!,C123,"NO CONSENSUS"),G123)</f>
        <v>Different Usage</v>
      </c>
      <c r="G123" s="3" t="s">
        <v>149</v>
      </c>
      <c r="H123" s="4"/>
      <c r="I123" s="4"/>
    </row>
    <row r="124" spans="1:9" x14ac:dyDescent="0.2">
      <c r="A124" s="17" t="s">
        <v>219</v>
      </c>
      <c r="B124" s="3" t="b">
        <v>1</v>
      </c>
      <c r="C124" s="5" t="s">
        <v>149</v>
      </c>
      <c r="D124" s="3" t="b">
        <v>0</v>
      </c>
      <c r="E124" s="6"/>
      <c r="F124" s="7" t="str">
        <f>IF(G124="", IF(C124=#REF!,C124,"NO CONSENSUS"),G124)</f>
        <v>Different Usage</v>
      </c>
      <c r="G124" s="3" t="s">
        <v>149</v>
      </c>
      <c r="H124" s="4"/>
      <c r="I124" s="4"/>
    </row>
    <row r="125" spans="1:9" x14ac:dyDescent="0.2">
      <c r="A125" s="17" t="s">
        <v>176</v>
      </c>
      <c r="B125" s="3" t="b">
        <v>1</v>
      </c>
      <c r="C125" s="5" t="s">
        <v>149</v>
      </c>
      <c r="D125" s="3" t="b">
        <v>0</v>
      </c>
      <c r="E125" s="6"/>
      <c r="F125" s="7" t="e">
        <f>IF(G125="", IF(C125=#REF!,C125,"NO CONSENSUS"),G125)</f>
        <v>#REF!</v>
      </c>
      <c r="G125" s="7"/>
      <c r="H125" s="4"/>
      <c r="I125" s="4"/>
    </row>
    <row r="126" spans="1:9" x14ac:dyDescent="0.2">
      <c r="A126" s="17" t="s">
        <v>175</v>
      </c>
      <c r="B126" s="3" t="b">
        <v>1</v>
      </c>
      <c r="C126" s="5" t="s">
        <v>148</v>
      </c>
      <c r="D126" s="3" t="b">
        <v>0</v>
      </c>
      <c r="E126" s="6"/>
      <c r="F126" s="7" t="e">
        <f>IF(G126="", IF(C126=#REF!,C126,"NO CONSENSUS"),G126)</f>
        <v>#REF!</v>
      </c>
      <c r="G126" s="7"/>
      <c r="H126" s="4"/>
      <c r="I126" s="4"/>
    </row>
    <row r="127" spans="1:9" x14ac:dyDescent="0.2">
      <c r="A127" s="17" t="s">
        <v>174</v>
      </c>
      <c r="B127" s="3" t="b">
        <v>1</v>
      </c>
      <c r="C127" s="5" t="s">
        <v>149</v>
      </c>
      <c r="D127" s="3" t="b">
        <v>0</v>
      </c>
      <c r="E127" s="6"/>
      <c r="F127" s="7" t="str">
        <f>IF(G127="", IF(C127=#REF!,C127,"NO CONSENSUS"),G127)</f>
        <v>Different Usage</v>
      </c>
      <c r="G127" s="3" t="s">
        <v>149</v>
      </c>
      <c r="H127" s="4"/>
      <c r="I127" s="4"/>
    </row>
    <row r="128" spans="1:9" x14ac:dyDescent="0.2">
      <c r="A128" s="17" t="s">
        <v>173</v>
      </c>
      <c r="B128" s="3" t="b">
        <v>0</v>
      </c>
      <c r="C128" s="6"/>
      <c r="D128" s="3" t="b">
        <v>1</v>
      </c>
      <c r="E128" s="5" t="s">
        <v>149</v>
      </c>
      <c r="F128" s="7" t="e">
        <f>IF(G128="",IF(E128=#REF!,E128,"NO CONSENSUS"),G128)</f>
        <v>#REF!</v>
      </c>
      <c r="G128" s="7"/>
      <c r="H128" s="4"/>
      <c r="I128" s="4"/>
    </row>
    <row r="129" spans="1:9" x14ac:dyDescent="0.2">
      <c r="A129" s="17" t="s">
        <v>172</v>
      </c>
      <c r="B129" s="3" t="b">
        <v>0</v>
      </c>
      <c r="C129" s="6"/>
      <c r="D129" s="3" t="b">
        <v>1</v>
      </c>
      <c r="E129" s="5" t="s">
        <v>150</v>
      </c>
      <c r="F129" s="7" t="e">
        <f>IF(G129="",IF(E129=#REF!,E129,"NO CONSENSUS"),G129)</f>
        <v>#REF!</v>
      </c>
      <c r="G129" s="7"/>
      <c r="H129" s="4"/>
      <c r="I129" s="4"/>
    </row>
    <row r="130" spans="1:9" x14ac:dyDescent="0.2">
      <c r="A130" s="17" t="s">
        <v>171</v>
      </c>
      <c r="B130" s="3" t="b">
        <v>0</v>
      </c>
      <c r="C130" s="6"/>
      <c r="D130" s="3" t="b">
        <v>1</v>
      </c>
      <c r="E130" s="5" t="s">
        <v>148</v>
      </c>
      <c r="F130" s="7" t="str">
        <f>IF(G130="",IF(E130=#REF!,E130,"NO CONSENSUS"),G130)</f>
        <v>Not Sure</v>
      </c>
      <c r="G130" s="3" t="s">
        <v>148</v>
      </c>
      <c r="H130" s="4"/>
      <c r="I130" s="4"/>
    </row>
  </sheetData>
  <phoneticPr fontId="1" type="noConversion"/>
  <conditionalFormatting sqref="B1:E130">
    <cfRule type="cellIs" dxfId="2" priority="1" operator="equal">
      <formula>"TRUE"</formula>
    </cfRule>
  </conditionalFormatting>
  <conditionalFormatting sqref="B1:E130">
    <cfRule type="cellIs" dxfId="1" priority="2" operator="equal">
      <formula>"FALSE"</formula>
    </cfRule>
  </conditionalFormatting>
  <conditionalFormatting sqref="F1:F130">
    <cfRule type="cellIs" dxfId="0" priority="3" operator="equal">
      <formula>"NO CONSENSUS"</formula>
    </cfRule>
  </conditionalFormatting>
  <dataValidations count="2">
    <dataValidation type="list" allowBlank="1" sqref="G2:G130" xr:uid="{19FEF076-219B-47E5-8ACE-0786DAF33220}">
      <formula1>$I$2:$I$3</formula1>
    </dataValidation>
    <dataValidation type="list" allowBlank="1" showErrorMessage="1" sqref="E2:E130 C2:C130" xr:uid="{84647F12-491A-4B74-867E-153E0F87B8FA}">
      <formula1>$M$2:$M$3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7208E-3C6B-44ED-96D7-1C536E267B83}">
  <dimension ref="A1:H5"/>
  <sheetViews>
    <sheetView workbookViewId="0">
      <selection activeCell="J12" sqref="J12"/>
    </sheetView>
  </sheetViews>
  <sheetFormatPr defaultRowHeight="14.25" x14ac:dyDescent="0.2"/>
  <cols>
    <col min="1" max="1" width="10.375" bestFit="1" customWidth="1"/>
  </cols>
  <sheetData>
    <row r="1" spans="1:8" x14ac:dyDescent="0.2">
      <c r="A1" s="19" t="s">
        <v>137</v>
      </c>
      <c r="B1" s="19" t="s">
        <v>143</v>
      </c>
      <c r="C1" s="19"/>
      <c r="D1" s="19"/>
      <c r="E1" s="19"/>
      <c r="F1" s="19"/>
    </row>
    <row r="2" spans="1:8" x14ac:dyDescent="0.2">
      <c r="A2" s="19"/>
      <c r="B2" s="10" t="s">
        <v>138</v>
      </c>
      <c r="C2" s="10" t="s">
        <v>139</v>
      </c>
      <c r="D2" s="10" t="s">
        <v>140</v>
      </c>
      <c r="E2" s="10" t="s">
        <v>141</v>
      </c>
      <c r="F2" s="10" t="s">
        <v>142</v>
      </c>
    </row>
    <row r="3" spans="1:8" x14ac:dyDescent="0.2">
      <c r="A3" s="10" t="s">
        <v>144</v>
      </c>
      <c r="B3" s="10">
        <v>12</v>
      </c>
      <c r="C3" s="11">
        <v>0.27100000000000002</v>
      </c>
      <c r="D3" s="10">
        <v>33</v>
      </c>
      <c r="E3" s="11">
        <v>0.52300000000000002</v>
      </c>
      <c r="F3" s="11">
        <v>0.40200000000000002</v>
      </c>
    </row>
    <row r="4" spans="1:8" x14ac:dyDescent="0.2">
      <c r="A4" s="10" t="s">
        <v>145</v>
      </c>
      <c r="B4" s="10">
        <v>23</v>
      </c>
      <c r="C4" s="11">
        <v>0.371</v>
      </c>
      <c r="D4" s="10">
        <v>46</v>
      </c>
      <c r="E4" s="12">
        <v>0.73</v>
      </c>
      <c r="F4" s="11">
        <v>0.55200000000000005</v>
      </c>
    </row>
    <row r="5" spans="1:8" x14ac:dyDescent="0.2">
      <c r="A5" s="10" t="s">
        <v>146</v>
      </c>
      <c r="B5" s="10">
        <v>30</v>
      </c>
      <c r="C5" s="11">
        <v>0.49199999999999999</v>
      </c>
      <c r="D5" s="10">
        <v>56</v>
      </c>
      <c r="E5" s="13">
        <v>0.88900000000000001</v>
      </c>
      <c r="F5" s="11">
        <v>0.69399999999999995</v>
      </c>
      <c r="H5" s="9"/>
    </row>
  </sheetData>
  <mergeCells count="2">
    <mergeCell ref="A1:A2"/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misuse_list</vt:lpstr>
      <vt:lpstr>manual analysis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2021-10-12T05:36:51Z</dcterms:modified>
</cp:coreProperties>
</file>